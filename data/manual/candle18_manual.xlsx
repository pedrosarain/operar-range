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test Candle 18" sheetId="1" r:id="rId5"/>
    <sheet state="visible" name="QUANTO PAGARAM" sheetId="2" r:id="rId6"/>
    <sheet state="visible" name="REENTRADA" sheetId="3" r:id="rId7"/>
    <sheet state="visible" name="TOTAL MES" sheetId="4" r:id="rId8"/>
    <sheet state="visible" name="Dashboard" sheetId="5" r:id="rId9"/>
  </sheets>
  <definedNames>
    <definedName hidden="1" localSheetId="1" name="_xlnm._FilterDatabase">'QUANTO PAGARAM'!$C$1:$H$988</definedName>
    <definedName hidden="1" localSheetId="0" name="Z_FF7778D9_C128_4C42_AB27_6F137E84428F_.wvu.FilterData">'Backtest Candle 18'!$A$1:$J$189</definedName>
  </definedNames>
  <calcPr/>
  <customWorkbookViews>
    <customWorkbookView activeSheetId="0" maximized="1" windowHeight="0" windowWidth="0" guid="{FF7778D9-C128-4C42-AB27-6F137E84428F}" name="Filtro 1"/>
  </customWorkbookViews>
</workbook>
</file>

<file path=xl/sharedStrings.xml><?xml version="1.0" encoding="utf-8"?>
<sst xmlns="http://schemas.openxmlformats.org/spreadsheetml/2006/main" count="1313" uniqueCount="106">
  <si>
    <t>MAIS DE 200 PONTOS</t>
  </si>
  <si>
    <t>0X0</t>
  </si>
  <si>
    <t>LOSSES</t>
  </si>
  <si>
    <t>TOTAL</t>
  </si>
  <si>
    <t>JANEIRO</t>
  </si>
  <si>
    <t>TESTE</t>
  </si>
  <si>
    <t>Desfecho</t>
  </si>
  <si>
    <t>VALORES FEITOS</t>
  </si>
  <si>
    <t>PONTOS QUE TIROU</t>
  </si>
  <si>
    <t>1 PARCIAL - 100</t>
  </si>
  <si>
    <t>SEX</t>
  </si>
  <si>
    <t>2ª PARCIAL</t>
  </si>
  <si>
    <t>FEVEREIRO</t>
  </si>
  <si>
    <t>2 PARCIAL - 200</t>
  </si>
  <si>
    <t>TER</t>
  </si>
  <si>
    <t>Data</t>
  </si>
  <si>
    <t>MARCO</t>
  </si>
  <si>
    <t>3 PARCIAL - 400</t>
  </si>
  <si>
    <t>QUA</t>
  </si>
  <si>
    <t>3ª PARCIAL</t>
  </si>
  <si>
    <t>Dia</t>
  </si>
  <si>
    <t>4 PARCIAL DEIXA CORRER</t>
  </si>
  <si>
    <t>Setup</t>
  </si>
  <si>
    <t>Direção</t>
  </si>
  <si>
    <t>Foi contra antes de pagar</t>
  </si>
  <si>
    <t>Quanto pagou a favor</t>
  </si>
  <si>
    <t>ZERO A ZERO POS PRIMEIRA PARCIAL</t>
  </si>
  <si>
    <t>ABRIL</t>
  </si>
  <si>
    <t>WIN / LOSS</t>
  </si>
  <si>
    <t>POSSIVEL REENTRADA em dia de loss</t>
  </si>
  <si>
    <t>CONDUCAO DE CANDLE ATE ROMPER O ULTIMO</t>
  </si>
  <si>
    <t>pontos antes do zero a zero</t>
  </si>
  <si>
    <t>Coluna 2</t>
  </si>
  <si>
    <t>Coluna 3</t>
  </si>
  <si>
    <t>4ª PARCIAL</t>
  </si>
  <si>
    <t>voltou no zero a zero?</t>
  </si>
  <si>
    <t>stopou? (stop 170 pontos)</t>
  </si>
  <si>
    <t>total de pontos que correu</t>
  </si>
  <si>
    <t>FIZ UMA PARCIAL COM 1000 E SEGUREI 9 E TIROU COM ISSO</t>
  </si>
  <si>
    <t xml:space="preserve">conducao de candle </t>
  </si>
  <si>
    <t>QUI</t>
  </si>
  <si>
    <t>SEG</t>
  </si>
  <si>
    <t>ROMP. CANDLE 18</t>
  </si>
  <si>
    <t>MAIO</t>
  </si>
  <si>
    <t>VENDA</t>
  </si>
  <si>
    <t>um candle correu 2k de pontos absurdo</t>
  </si>
  <si>
    <t>LOSS</t>
  </si>
  <si>
    <t>se entrar de novo, paga.</t>
  </si>
  <si>
    <t>JUNHO</t>
  </si>
  <si>
    <t>sim</t>
  </si>
  <si>
    <t>nao</t>
  </si>
  <si>
    <t>WIN</t>
  </si>
  <si>
    <t>JULHO</t>
  </si>
  <si>
    <t>COMPRA</t>
  </si>
  <si>
    <t>AGOSTO</t>
  </si>
  <si>
    <t>200+</t>
  </si>
  <si>
    <t>total</t>
  </si>
  <si>
    <t>SETEMBRO</t>
  </si>
  <si>
    <t>IPCA - QUI</t>
  </si>
  <si>
    <t>pagou 1100 pontos</t>
  </si>
  <si>
    <t>IPCA - SEX</t>
  </si>
  <si>
    <t>pagou 1800 pontos</t>
  </si>
  <si>
    <t>pagou 1700 pontos</t>
  </si>
  <si>
    <t>pagou 1010 pontos</t>
  </si>
  <si>
    <t>pagou 1050 pontos</t>
  </si>
  <si>
    <t>pagou 1950</t>
  </si>
  <si>
    <t>BACKTEST — STOP x PRIMEIRA PARCIAL | CANDLE 18</t>
  </si>
  <si>
    <t>Stop analisado</t>
  </si>
  <si>
    <t>pagou 3020</t>
  </si>
  <si>
    <t>nao rompeu no candle seguinte</t>
  </si>
  <si>
    <t>Parcial analisada</t>
  </si>
  <si>
    <t>pos - win</t>
  </si>
  <si>
    <t>Trades que pagaram</t>
  </si>
  <si>
    <t>Seriam stopados antes</t>
  </si>
  <si>
    <t>Sobreviveriam</t>
  </si>
  <si>
    <t>pagou 1100</t>
  </si>
  <si>
    <t>% sobrevivência</t>
  </si>
  <si>
    <t>COMO LER</t>
  </si>
  <si>
    <t>pagou 1750</t>
  </si>
  <si>
    <t>pagou 1350</t>
  </si>
  <si>
    <t>pagam</t>
  </si>
  <si>
    <t>1</t>
  </si>
  <si>
    <t>Na base, você só escolhe faixas fixas.</t>
  </si>
  <si>
    <t>nao entrou</t>
  </si>
  <si>
    <t>2</t>
  </si>
  <si>
    <t>'Foi contra' = máxima excursão contra antes de pagar.</t>
  </si>
  <si>
    <t>nao rompeu pro mesmo lado</t>
  </si>
  <si>
    <t>stops</t>
  </si>
  <si>
    <t>3</t>
  </si>
  <si>
    <t>'Quanto pagou' = máxima excursão a favor.</t>
  </si>
  <si>
    <t>se entrar de novo, stopado.</t>
  </si>
  <si>
    <t>IPCA - TER</t>
  </si>
  <si>
    <t>feriado</t>
  </si>
  <si>
    <t>4</t>
  </si>
  <si>
    <t>Depois cruzamos stop x primeira parcial.</t>
  </si>
  <si>
    <t>quarta feira de cinzas</t>
  </si>
  <si>
    <t>5</t>
  </si>
  <si>
    <t>Objetivo: achar o stop mínimo que preserva os trades bons.</t>
  </si>
  <si>
    <t>Assertividade</t>
  </si>
  <si>
    <t>Losses</t>
  </si>
  <si>
    <t>Tx Assertividade</t>
  </si>
  <si>
    <t>sem replay</t>
  </si>
  <si>
    <t>rompimento maxima</t>
  </si>
  <si>
    <t>pos - loss</t>
  </si>
  <si>
    <t>pos - gain</t>
  </si>
  <si>
    <t>bug b3 sem pregao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</si>
</sst>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1">
    <font>
      <sz val="11.0"/>
      <color rgb="FF000000"/>
      <name val="Carlito"/>
      <scheme val="minor"/>
    </font>
    <font>
      <color theme="1"/>
      <name val="Carlito"/>
      <scheme val="minor"/>
    </font>
    <font>
      <b/>
      <sz val="11.0"/>
      <color theme="1"/>
      <name val="Calibri"/>
    </font>
    <font>
      <sz val="11.0"/>
      <color theme="1"/>
      <name val="Carlito"/>
    </font>
    <font>
      <sz val="11.0"/>
      <color theme="1"/>
      <name val="Calibri"/>
    </font>
    <font>
      <b/>
      <sz val="11.0"/>
      <color rgb="FF111111"/>
      <name val="Carlito"/>
    </font>
    <font>
      <b/>
      <color rgb="FFFFFFFF"/>
      <name val="Carlito"/>
      <scheme val="minor"/>
    </font>
    <font>
      <b/>
      <sz val="14.0"/>
      <color rgb="FFFFFFFF"/>
      <name val="Carlito"/>
    </font>
    <font>
      <b/>
      <sz val="11.0"/>
      <color theme="1"/>
      <name val="Carlito"/>
    </font>
    <font>
      <b/>
      <sz val="11.0"/>
      <color rgb="FFFFFFFF"/>
      <name val="Carlito"/>
    </font>
    <font>
      <b/>
      <color theme="1"/>
      <name val="Carlito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1F1F1F"/>
        <bgColor rgb="FF1F1F1F"/>
      </patternFill>
    </fill>
    <fill>
      <patternFill patternType="solid">
        <fgColor rgb="FFF4CCCC"/>
        <bgColor rgb="FFF4CCCC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0" fillId="0" fontId="1" numFmtId="9" xfId="0" applyAlignment="1" applyFont="1" applyNumberFormat="1">
      <alignment readingOrder="0"/>
    </xf>
    <xf borderId="0" fillId="0" fontId="1" numFmtId="0" xfId="0" applyFont="1"/>
    <xf borderId="2" fillId="3" fontId="3" numFmtId="164" xfId="0" applyBorder="1" applyFill="1" applyFont="1" applyNumberFormat="1"/>
    <xf borderId="3" fillId="3" fontId="1" numFmtId="0" xfId="0" applyBorder="1" applyFill="1" applyFont="1"/>
    <xf borderId="0" fillId="4" fontId="4" numFmtId="0" xfId="0" applyAlignment="1" applyFill="1" applyFont="1">
      <alignment readingOrder="0" vertical="bottom"/>
    </xf>
    <xf borderId="3" fillId="4" fontId="4" numFmtId="0" xfId="0" applyAlignment="1" applyBorder="1" applyFill="1" applyFont="1">
      <alignment readingOrder="0" vertical="bottom"/>
    </xf>
    <xf borderId="3" fillId="4" fontId="4" numFmtId="0" xfId="0" applyAlignment="1" applyBorder="1" applyFill="1" applyFont="1">
      <alignment readingOrder="0" vertical="bottom"/>
    </xf>
    <xf borderId="4" fillId="4" fontId="4" numFmtId="0" xfId="0" applyAlignment="1" applyBorder="1" applyFill="1" applyFont="1">
      <alignment readingOrder="0" vertical="bottom"/>
    </xf>
    <xf borderId="5" fillId="3" fontId="3" numFmtId="164" xfId="0" applyBorder="1" applyFill="1" applyFont="1" applyNumberFormat="1"/>
    <xf borderId="0" fillId="3" fontId="1" numFmtId="0" xfId="0" applyFill="1" applyFont="1"/>
    <xf borderId="0" fillId="5" fontId="4" numFmtId="0" xfId="0" applyAlignment="1" applyFill="1" applyFont="1">
      <alignment readingOrder="0" vertical="bottom"/>
    </xf>
    <xf borderId="0" fillId="5" fontId="4" numFmtId="0" xfId="0" applyAlignment="1" applyFill="1" applyFont="1">
      <alignment readingOrder="0" vertical="bottom"/>
    </xf>
    <xf borderId="6" fillId="5" fontId="4" numFmtId="0" xfId="0" applyAlignment="1" applyBorder="1" applyFill="1" applyFont="1">
      <alignment readingOrder="0" vertical="bottom"/>
    </xf>
    <xf borderId="0" fillId="2" fontId="5" numFmtId="0" xfId="0" applyAlignment="1" applyFill="1" applyFont="1">
      <alignment horizontal="center" readingOrder="0" shrinkToFit="0" vertical="center" wrapText="0"/>
    </xf>
    <xf borderId="6" fillId="4" fontId="4" numFmtId="0" xfId="0" applyAlignment="1" applyBorder="1" applyFill="1" applyFont="1">
      <alignment readingOrder="0" vertical="bottom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6" fillId="5" fontId="4" numFmtId="0" xfId="0" applyAlignment="1" applyBorder="1" applyFill="1" applyFont="1">
      <alignment readingOrder="0" vertical="bottom"/>
    </xf>
    <xf borderId="0" fillId="3" fontId="3" numFmtId="164" xfId="0" applyAlignment="1" applyFill="1" applyFont="1" applyNumberFormat="1">
      <alignment shrinkToFit="0" vertical="center" wrapText="0"/>
    </xf>
    <xf borderId="0" fillId="3" fontId="3" numFmtId="164" xfId="0" applyFill="1" applyFont="1" applyNumberFormat="1"/>
    <xf borderId="6" fillId="4" fontId="4" numFmtId="0" xfId="0" applyAlignment="1" applyBorder="1" applyFill="1" applyFont="1">
      <alignment vertical="bottom"/>
    </xf>
    <xf borderId="0" fillId="3" fontId="1" numFmtId="0" xfId="0" applyAlignment="1" applyFill="1" applyFont="1">
      <alignment shrinkToFit="0" vertical="center" wrapText="0"/>
    </xf>
    <xf borderId="7" fillId="3" fontId="3" numFmtId="164" xfId="0" applyBorder="1" applyFill="1" applyFont="1" applyNumberFormat="1"/>
    <xf borderId="1" fillId="3" fontId="1" numFmtId="0" xfId="0" applyBorder="1" applyFill="1" applyFont="1"/>
    <xf borderId="1" fillId="4" fontId="4" numFmtId="0" xfId="0" applyAlignment="1" applyBorder="1" applyFill="1" applyFont="1">
      <alignment readingOrder="0" vertical="bottom"/>
    </xf>
    <xf borderId="0" fillId="6" fontId="1" numFmtId="0" xfId="0" applyAlignment="1" applyFill="1" applyFont="1">
      <alignment readingOrder="0"/>
    </xf>
    <xf borderId="1" fillId="4" fontId="4" numFmtId="0" xfId="0" applyAlignment="1" applyBorder="1" applyFill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8" fillId="4" fontId="4" numFmtId="0" xfId="0" applyAlignment="1" applyBorder="1" applyFill="1" applyFont="1">
      <alignment vertical="bottom"/>
    </xf>
    <xf borderId="3" fillId="5" fontId="4" numFmtId="0" xfId="0" applyAlignment="1" applyBorder="1" applyFill="1" applyFont="1">
      <alignment readingOrder="0" vertical="bottom"/>
    </xf>
    <xf borderId="3" fillId="5" fontId="4" numFmtId="0" xfId="0" applyAlignment="1" applyBorder="1" applyFill="1" applyFont="1">
      <alignment vertical="bottom"/>
    </xf>
    <xf borderId="4" fillId="5" fontId="4" numFmtId="0" xfId="0" applyAlignment="1" applyBorder="1" applyFill="1" applyFont="1">
      <alignment vertical="bottom"/>
    </xf>
    <xf borderId="0" fillId="0" fontId="1" numFmtId="0" xfId="0" applyAlignment="1" applyFont="1">
      <alignment readingOrder="0"/>
    </xf>
    <xf borderId="1" fillId="3" fontId="3" numFmtId="164" xfId="0" applyBorder="1" applyFill="1" applyFont="1" applyNumberFormat="1"/>
    <xf borderId="0" fillId="4" fontId="4" numFmtId="0" xfId="0" applyAlignment="1" applyFill="1" applyFont="1">
      <alignment vertical="bottom"/>
    </xf>
    <xf borderId="1" fillId="0" fontId="1" numFmtId="0" xfId="0" applyBorder="1" applyFont="1"/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shrinkToFit="0" vertical="center" wrapText="0"/>
    </xf>
    <xf borderId="6" fillId="5" fontId="4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ill="1" applyFont="1"/>
    <xf borderId="0" fillId="7" fontId="1" numFmtId="0" xfId="0" applyAlignment="1" applyFill="1" applyFont="1">
      <alignment readingOrder="0"/>
    </xf>
    <xf borderId="1" fillId="5" fontId="4" numFmtId="0" xfId="0" applyAlignment="1" applyBorder="1" applyFill="1" applyFont="1">
      <alignment readingOrder="0" vertical="bottom"/>
    </xf>
    <xf borderId="0" fillId="7" fontId="1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4" fontId="1" numFmtId="0" xfId="0" applyFill="1" applyFont="1"/>
    <xf borderId="1" fillId="5" fontId="4" numFmtId="0" xfId="0" applyAlignment="1" applyBorder="1" applyFill="1" applyFont="1">
      <alignment vertical="bottom"/>
    </xf>
    <xf borderId="0" fillId="4" fontId="1" numFmtId="0" xfId="0" applyAlignment="1" applyFill="1" applyFont="1">
      <alignment readingOrder="0"/>
    </xf>
    <xf borderId="8" fillId="5" fontId="4" numFmtId="0" xfId="0" applyAlignment="1" applyBorder="1" applyFill="1" applyFont="1">
      <alignment vertical="bottom"/>
    </xf>
    <xf borderId="0" fillId="4" fontId="1" numFmtId="0" xfId="0" applyAlignment="1" applyFill="1" applyFont="1">
      <alignment readingOrder="0"/>
    </xf>
    <xf borderId="0" fillId="6" fontId="1" numFmtId="0" xfId="0" applyAlignment="1" applyFill="1" applyFont="1">
      <alignment readingOrder="0" shrinkToFit="0" vertical="center" wrapText="0"/>
    </xf>
    <xf borderId="0" fillId="0" fontId="1" numFmtId="0" xfId="0" applyFont="1"/>
    <xf borderId="0" fillId="5" fontId="3" numFmtId="164" xfId="0" applyFill="1" applyFont="1" applyNumberFormat="1"/>
    <xf borderId="0" fillId="5" fontId="1" numFmtId="0" xfId="0" applyFill="1" applyFont="1"/>
    <xf borderId="0" fillId="5" fontId="4" numFmtId="0" xfId="0" applyAlignment="1" applyFill="1" applyFont="1">
      <alignment vertical="bottom"/>
    </xf>
    <xf borderId="0" fillId="0" fontId="3" numFmtId="164" xfId="0" applyFont="1" applyNumberFormat="1"/>
    <xf borderId="0" fillId="4" fontId="3" numFmtId="164" xfId="0" applyFill="1" applyFont="1" applyNumberFormat="1"/>
    <xf borderId="0" fillId="0" fontId="1" numFmtId="10" xfId="0" applyFont="1" applyNumberFormat="1"/>
    <xf borderId="1" fillId="5" fontId="3" numFmtId="164" xfId="0" applyBorder="1" applyFill="1" applyFont="1" applyNumberFormat="1"/>
    <xf borderId="1" fillId="5" fontId="1" numFmtId="0" xfId="0" applyBorder="1" applyFill="1" applyFont="1"/>
    <xf borderId="0" fillId="0" fontId="3" numFmtId="164" xfId="0" applyAlignment="1" applyFont="1" applyNumberFormat="1">
      <alignment readingOrder="0"/>
    </xf>
    <xf borderId="0" fillId="8" fontId="1" numFmtId="0" xfId="0" applyFill="1" applyFont="1"/>
    <xf borderId="0" fillId="2" fontId="1" numFmtId="0" xfId="0" applyAlignment="1" applyFill="1" applyFont="1">
      <alignment readingOrder="0"/>
    </xf>
    <xf borderId="1" fillId="4" fontId="3" numFmtId="164" xfId="0" applyBorder="1" applyFill="1" applyFont="1" applyNumberFormat="1"/>
    <xf borderId="1" fillId="4" fontId="1" numFmtId="0" xfId="0" applyBorder="1" applyFill="1" applyFont="1"/>
    <xf borderId="1" fillId="0" fontId="3" numFmtId="164" xfId="0" applyBorder="1" applyFont="1" applyNumberFormat="1"/>
    <xf borderId="1" fillId="2" fontId="1" numFmtId="0" xfId="0" applyAlignment="1" applyBorder="1" applyFill="1" applyFont="1">
      <alignment readingOrder="0"/>
    </xf>
    <xf borderId="0" fillId="4" fontId="4" numFmtId="0" xfId="0" applyAlignment="1" applyFill="1" applyFont="1">
      <alignment horizontal="right" vertical="bottom"/>
    </xf>
    <xf borderId="0" fillId="9" fontId="3" numFmtId="164" xfId="0" applyAlignment="1" applyFill="1" applyFont="1" applyNumberFormat="1">
      <alignment shrinkToFit="0" vertical="center" wrapText="0"/>
    </xf>
    <xf borderId="0" fillId="10" fontId="7" numFmtId="0" xfId="0" applyAlignment="1" applyFill="1" applyFont="1">
      <alignment horizontal="center"/>
    </xf>
    <xf borderId="0" fillId="9" fontId="1" numFmtId="0" xfId="0" applyAlignment="1" applyFill="1" applyFont="1">
      <alignment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9" fontId="1" numFmtId="0" xfId="0" applyFill="1" applyFont="1"/>
    <xf borderId="0" fillId="10" fontId="9" numFmtId="0" xfId="0" applyFill="1" applyFont="1"/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0" fillId="0" fontId="4" numFmtId="0" xfId="0" applyAlignment="1" applyFont="1">
      <alignment vertical="bottom"/>
    </xf>
    <xf borderId="4" fillId="0" fontId="3" numFmtId="165" xfId="0" applyAlignment="1" applyBorder="1" applyFont="1" applyNumberFormat="1">
      <alignment shrinkToFit="0" vertical="center" wrapText="0"/>
    </xf>
    <xf borderId="0" fillId="0" fontId="3" numFmtId="0" xfId="0" applyAlignment="1" applyFont="1">
      <alignment shrinkToFit="0" wrapText="1"/>
    </xf>
    <xf borderId="1" fillId="3" fontId="3" numFmtId="164" xfId="0" applyAlignment="1" applyBorder="1" applyFill="1" applyFont="1" applyNumberFormat="1">
      <alignment shrinkToFit="0" vertical="center" wrapText="0"/>
    </xf>
    <xf borderId="1" fillId="3" fontId="1" numFmtId="0" xfId="0" applyAlignment="1" applyBorder="1" applyFill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6" fillId="0" fontId="3" numFmtId="165" xfId="0" applyAlignment="1" applyBorder="1" applyFont="1" applyNumberForma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7" fontId="1" numFmtId="0" xfId="0" applyAlignment="1" applyFill="1" applyFont="1">
      <alignment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4" fontId="3" numFmtId="164" xfId="0" applyAlignment="1" applyFill="1" applyFont="1" applyNumberForma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11" fontId="1" numFmtId="0" xfId="0" applyAlignment="1" applyFill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8" fillId="0" fontId="3" numFmtId="165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9" fillId="0" fontId="10" numFmtId="0" xfId="0" applyBorder="1" applyFont="1"/>
    <xf borderId="4" fillId="0" fontId="10" numFmtId="0" xfId="0" applyBorder="1" applyFont="1"/>
    <xf borderId="0" fillId="0" fontId="3" numFmtId="164" xfId="0" applyAlignment="1" applyFont="1" applyNumberFormat="1">
      <alignment shrinkToFit="0" vertical="center" wrapText="0"/>
    </xf>
    <xf borderId="6" fillId="0" fontId="10" numFmtId="0" xfId="0" applyBorder="1" applyFont="1"/>
    <xf borderId="8" fillId="0" fontId="8" numFmtId="165" xfId="0" applyBorder="1" applyFont="1" applyNumberFormat="1"/>
    <xf borderId="1" fillId="0" fontId="3" numFmtId="164" xfId="0" applyAlignment="1" applyBorder="1" applyFont="1" applyNumberFormat="1">
      <alignment shrinkToFit="0" vertical="center" wrapText="0"/>
    </xf>
    <xf borderId="0" fillId="9" fontId="1" numFmtId="0" xfId="0" applyAlignment="1" applyFill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7" fontId="3" numFmtId="164" xfId="0" applyAlignment="1" applyFill="1" applyFont="1" applyNumberFormat="1">
      <alignment shrinkToFit="0" vertical="center" wrapText="0"/>
    </xf>
    <xf borderId="1" fillId="9" fontId="3" numFmtId="164" xfId="0" applyAlignment="1" applyBorder="1" applyFill="1" applyFont="1" applyNumberFormat="1">
      <alignment shrinkToFit="0" vertical="center" wrapText="0"/>
    </xf>
    <xf borderId="1" fillId="9" fontId="1" numFmtId="0" xfId="0" applyAlignment="1" applyBorder="1" applyFill="1" applyFont="1">
      <alignment shrinkToFit="0" vertical="center" wrapText="0"/>
    </xf>
    <xf borderId="1" fillId="9" fontId="1" numFmtId="0" xfId="0" applyAlignment="1" applyBorder="1" applyFill="1" applyFont="1">
      <alignment readingOrder="0" shrinkToFit="0" vertical="center" wrapText="0"/>
    </xf>
    <xf borderId="1" fillId="9" fontId="1" numFmtId="0" xfId="0" applyBorder="1" applyFill="1" applyFont="1"/>
    <xf borderId="0" fillId="0" fontId="3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</dxfs>
  <tableStyles count="12">
    <tableStyle count="2" pivot="0" name="REENTRADA-style">
      <tableStyleElement dxfId="2" type="firstRowStripe"/>
      <tableStyleElement dxfId="3" type="secondRowStripe"/>
    </tableStyle>
    <tableStyle count="2" pivot="0" name="REENTRADA-style 2">
      <tableStyleElement dxfId="2" type="firstRowStripe"/>
      <tableStyleElement dxfId="3" type="secondRowStripe"/>
    </tableStyle>
    <tableStyle count="4" pivot="0" name="Backtest Candle 1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ENTRADA-style 3">
      <tableStyleElement dxfId="2" type="firstRowStripe"/>
      <tableStyleElement dxfId="3" type="secondRowStripe"/>
    </tableStyle>
    <tableStyle count="2" pivot="0" name="REENTRADA-style 4">
      <tableStyleElement dxfId="2" type="firstRowStripe"/>
      <tableStyleElement dxfId="3" type="secondRowStripe"/>
    </tableStyle>
    <tableStyle count="2" pivot="0" name="REENTRADA-style 5">
      <tableStyleElement dxfId="2" type="firstRowStripe"/>
      <tableStyleElement dxfId="3" type="secondRowStripe"/>
    </tableStyle>
    <tableStyle count="2" pivot="0" name="REENTRADA-style 6">
      <tableStyleElement dxfId="2" type="firstRowStripe"/>
      <tableStyleElement dxfId="3" type="secondRowStripe"/>
    </tableStyle>
    <tableStyle count="2" pivot="0" name="REENTRADA-style 7">
      <tableStyleElement dxfId="2" type="firstRowStripe"/>
      <tableStyleElement dxfId="3" type="secondRowStripe"/>
    </tableStyle>
    <tableStyle count="2" pivot="0" name="REENTRADA-style 8">
      <tableStyleElement dxfId="2" type="firstRowStripe"/>
      <tableStyleElement dxfId="3" type="secondRowStripe"/>
    </tableStyle>
    <tableStyle count="2" pivot="0" name="REENTRADA-style 9">
      <tableStyleElement dxfId="2" type="firstRowStripe"/>
      <tableStyleElement dxfId="3" type="secondRowStripe"/>
    </tableStyle>
    <tableStyle count="2" pivot="0" name="REENTRADA-style 10">
      <tableStyleElement dxfId="2" type="firstRowStripe"/>
      <tableStyleElement dxfId="3" type="secondRowStripe"/>
    </tableStyle>
    <tableStyle count="4" pivot="0" name="Dashboard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89" displayName="BacktestCandle18" name="BacktestCandle18" id="2">
  <tableColumns count="10">
    <tableColumn name="Data" id="1"/>
    <tableColumn name="Dia" id="2"/>
    <tableColumn name="Setup" id="3"/>
    <tableColumn name="Direção" id="4"/>
    <tableColumn name="Foi contra antes de pagar" id="5"/>
    <tableColumn name="Quanto pagou a favor" id="6"/>
    <tableColumn name="WIN / LOSS" id="7"/>
    <tableColumn name="POSSIVEL REENTRADA em dia de loss" id="8"/>
    <tableColumn name="Coluna 2" id="9"/>
    <tableColumn name="Coluna 3" id="10"/>
  </tableColumns>
  <tableStyleInfo name="Backtest Candle 18-style" showColumnStripes="0" showFirstColumn="1" showLastColumn="1" showRowStripes="1"/>
</table>
</file>

<file path=xl/tables/table2.xml><?xml version="1.0" encoding="utf-8"?>
<table xmlns="http://schemas.openxmlformats.org/spreadsheetml/2006/main" headerRowCount="0" ref="A2:M22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REENTRADA-style" showColumnStripes="0" showFirstColumn="1" showLastColumn="1" showRowStripes="1"/>
</table>
</file>

<file path=xl/tables/table3.xml><?xml version="1.0" encoding="utf-8"?>
<table xmlns="http://schemas.openxmlformats.org/spreadsheetml/2006/main" headerRowCount="0" ref="A24:H37" displayName="Table_2" name="Table_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ENTRADA-style 2" showColumnStripes="0" showFirstColumn="1" showLastColumn="1" showRowStripes="1"/>
</table>
</file>

<file path=xl/tables/table4.xml><?xml version="1.0" encoding="utf-8"?>
<table xmlns="http://schemas.openxmlformats.org/spreadsheetml/2006/main" headerRowCount="0" ref="I24:M25" displayName="Table_3" name="Table_3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REENTRADA-style 3" showColumnStripes="0" showFirstColumn="1" showLastColumn="1" showRowStripes="1"/>
</table>
</file>

<file path=xl/tables/table5.xml><?xml version="1.0" encoding="utf-8"?>
<table xmlns="http://schemas.openxmlformats.org/spreadsheetml/2006/main" headerRowCount="0" ref="I26:M27" displayName="Table_4" name="Table_4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REENTRADA-style 4" showColumnStripes="0" showFirstColumn="1" showLastColumn="1" showRowStripes="1"/>
</table>
</file>

<file path=xl/tables/table6.xml><?xml version="1.0" encoding="utf-8"?>
<table xmlns="http://schemas.openxmlformats.org/spreadsheetml/2006/main" headerRowCount="0" ref="I28:M29" displayName="Table_5" name="Table_5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REENTRADA-style 5" showColumnStripes="0" showFirstColumn="1" showLastColumn="1" showRowStripes="1"/>
</table>
</file>

<file path=xl/tables/table7.xml><?xml version="1.0" encoding="utf-8"?>
<table xmlns="http://schemas.openxmlformats.org/spreadsheetml/2006/main" headerRowCount="0" ref="I30:M31" displayName="Table_6" name="Table_6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REENTRADA-style 6" showColumnStripes="0" showFirstColumn="1" showLastColumn="1" showRowStripes="1"/>
</table>
</file>

<file path=xl/tables/table8.xml><?xml version="1.0" encoding="utf-8"?>
<table xmlns="http://schemas.openxmlformats.org/spreadsheetml/2006/main" headerRowCount="0" ref="I32:M33" displayName="Table_7" name="Table_7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REENTRADA-style 7" showColumnStripes="0" showFirstColumn="1" showLastColumn="1" showRowStripes="1"/>
</table>
</file>

<file path=xl/tables/table9.xml><?xml version="1.0" encoding="utf-8"?>
<table xmlns="http://schemas.openxmlformats.org/spreadsheetml/2006/main" headerRowCount="0" ref="I34:M35" displayName="Table_8" name="Table_8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REENTRADA-style 8" showColumnStripes="0" showFirstColumn="1" showLastColumn="1" showRowStripes="1"/>
</table>
</file>

<file path=xl/tables/table10.xml><?xml version="1.0" encoding="utf-8"?>
<table xmlns="http://schemas.openxmlformats.org/spreadsheetml/2006/main" headerRowCount="0" ref="I36:M36" displayName="Table_9" name="Table_9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REENTRADA-style 9" showColumnStripes="0" showFirstColumn="1" showLastColumn="1" showRowStripes="1"/>
</table>
</file>

<file path=xl/tables/table11.xml><?xml version="1.0" encoding="utf-8"?>
<table xmlns="http://schemas.openxmlformats.org/spreadsheetml/2006/main" headerRowCount="0" ref="I37:M37" displayName="Table_10" name="Table_10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REENTRADA-style 10" showColumnStripes="0" showFirstColumn="1" showLastColumn="1" showRowStripes="1"/>
</table>
</file>

<file path=xl/tables/table12.xml><?xml version="1.0" encoding="utf-8"?>
<table xmlns="http://schemas.openxmlformats.org/spreadsheetml/2006/main" ref="A3:F28" displayName="Tabela_1" name="Tabela_1" id="12">
  <tableColumns count="6">
    <tableColumn name="Stop analisado" id="1"/>
    <tableColumn name="Parcial analisada" id="2"/>
    <tableColumn name="Trades que pagaram" id="3"/>
    <tableColumn name="Seriam stopados antes" id="4"/>
    <tableColumn name="Sobreviveriam" id="5"/>
    <tableColumn name="% sobrevivência" id="6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0" Type="http://schemas.openxmlformats.org/officeDocument/2006/relationships/table" Target="../tables/table10.xml"/><Relationship Id="rId21" Type="http://schemas.openxmlformats.org/officeDocument/2006/relationships/table" Target="../tables/table1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9.75"/>
    <col customWidth="1" min="3" max="3" width="16.25"/>
    <col customWidth="1" min="4" max="4" width="11.0"/>
    <col customWidth="1" min="5" max="5" width="23.38"/>
    <col customWidth="1" min="6" max="6" width="20.75"/>
    <col customWidth="1" min="7" max="7" width="13.75"/>
    <col customWidth="1" min="8" max="8" width="35.88"/>
    <col customWidth="1" min="9" max="9" width="11.5"/>
    <col customWidth="1" min="10" max="10" width="18.0"/>
    <col customWidth="1" min="11" max="11" width="8.63"/>
    <col customWidth="1" min="12" max="12" width="10.38"/>
    <col customWidth="1" min="13" max="26" width="8.63"/>
  </cols>
  <sheetData>
    <row r="1">
      <c r="A1" s="16" t="s">
        <v>15</v>
      </c>
      <c r="B1" s="16" t="s">
        <v>20</v>
      </c>
      <c r="C1" s="16" t="s">
        <v>22</v>
      </c>
      <c r="D1" s="16" t="s">
        <v>23</v>
      </c>
      <c r="E1" s="16" t="s">
        <v>24</v>
      </c>
      <c r="F1" s="16" t="s">
        <v>25</v>
      </c>
      <c r="G1" s="18" t="s">
        <v>28</v>
      </c>
      <c r="H1" s="19" t="s">
        <v>29</v>
      </c>
      <c r="I1" s="19" t="s">
        <v>32</v>
      </c>
      <c r="J1" s="19" t="s">
        <v>33</v>
      </c>
    </row>
    <row r="2">
      <c r="A2" s="21">
        <v>46023.0</v>
      </c>
      <c r="B2" s="24" t="s">
        <v>40</v>
      </c>
      <c r="C2" s="31" t="s">
        <v>42</v>
      </c>
      <c r="D2" s="31"/>
      <c r="E2" s="31"/>
      <c r="F2" s="31"/>
      <c r="G2" s="40" t="s">
        <v>51</v>
      </c>
      <c r="H2" s="42"/>
      <c r="I2" s="42"/>
      <c r="J2" s="42"/>
    </row>
    <row r="3">
      <c r="A3" s="21">
        <v>46024.0</v>
      </c>
      <c r="B3" s="24" t="s">
        <v>10</v>
      </c>
      <c r="C3" s="31" t="s">
        <v>42</v>
      </c>
      <c r="D3" s="40" t="s">
        <v>44</v>
      </c>
      <c r="E3" s="31"/>
      <c r="F3" s="40" t="s">
        <v>55</v>
      </c>
      <c r="G3" s="40" t="s">
        <v>51</v>
      </c>
      <c r="H3" s="50"/>
      <c r="I3" s="50"/>
      <c r="J3" s="50"/>
    </row>
    <row r="4">
      <c r="A4" s="21">
        <v>46027.0</v>
      </c>
      <c r="B4" s="24" t="s">
        <v>41</v>
      </c>
      <c r="C4" s="31" t="s">
        <v>42</v>
      </c>
      <c r="D4" s="40" t="s">
        <v>44</v>
      </c>
      <c r="E4" s="40">
        <v>200.0</v>
      </c>
      <c r="F4" s="31"/>
      <c r="G4" s="40" t="s">
        <v>46</v>
      </c>
      <c r="H4" s="56" t="s">
        <v>47</v>
      </c>
      <c r="I4" s="50"/>
      <c r="J4" s="50"/>
      <c r="L4" s="1" t="s">
        <v>56</v>
      </c>
      <c r="M4" s="1">
        <v>45.0</v>
      </c>
      <c r="N4" s="63">
        <f>M4/M4</f>
        <v>1</v>
      </c>
    </row>
    <row r="5">
      <c r="A5" s="21">
        <v>46028.0</v>
      </c>
      <c r="B5" s="24" t="s">
        <v>14</v>
      </c>
      <c r="C5" s="31" t="s">
        <v>42</v>
      </c>
      <c r="D5" s="40" t="s">
        <v>44</v>
      </c>
      <c r="E5" s="31"/>
      <c r="F5" s="40" t="s">
        <v>55</v>
      </c>
      <c r="G5" s="40" t="s">
        <v>51</v>
      </c>
      <c r="H5" s="50"/>
      <c r="I5" s="50"/>
      <c r="J5" s="50"/>
    </row>
    <row r="6">
      <c r="A6" s="21">
        <v>46029.0</v>
      </c>
      <c r="B6" s="24" t="s">
        <v>18</v>
      </c>
      <c r="C6" s="31" t="s">
        <v>42</v>
      </c>
      <c r="D6" s="40" t="s">
        <v>44</v>
      </c>
      <c r="E6" s="31"/>
      <c r="F6" s="40" t="s">
        <v>55</v>
      </c>
      <c r="G6" s="40" t="s">
        <v>51</v>
      </c>
      <c r="H6" s="50"/>
      <c r="I6" s="50"/>
      <c r="J6" s="50"/>
    </row>
    <row r="7">
      <c r="A7" s="21">
        <v>46030.0</v>
      </c>
      <c r="B7" s="24" t="s">
        <v>40</v>
      </c>
      <c r="C7" s="31" t="s">
        <v>42</v>
      </c>
      <c r="D7" s="40" t="s">
        <v>53</v>
      </c>
      <c r="E7" s="40">
        <v>150.0</v>
      </c>
      <c r="F7" s="40">
        <v>125.0</v>
      </c>
      <c r="G7" s="40" t="s">
        <v>51</v>
      </c>
      <c r="H7" s="56" t="s">
        <v>47</v>
      </c>
      <c r="I7" s="50"/>
      <c r="J7" s="50"/>
    </row>
    <row r="8">
      <c r="A8" s="21">
        <v>46031.0</v>
      </c>
      <c r="B8" s="24" t="s">
        <v>10</v>
      </c>
      <c r="C8" s="31" t="s">
        <v>42</v>
      </c>
      <c r="D8" s="40" t="s">
        <v>53</v>
      </c>
      <c r="E8" s="31"/>
      <c r="F8" s="40" t="s">
        <v>55</v>
      </c>
      <c r="G8" s="40" t="s">
        <v>51</v>
      </c>
      <c r="H8" s="50"/>
      <c r="I8" s="50"/>
      <c r="J8" s="50"/>
    </row>
    <row r="9">
      <c r="A9" s="21">
        <v>46034.0</v>
      </c>
      <c r="B9" s="24" t="s">
        <v>41</v>
      </c>
      <c r="C9" s="31" t="s">
        <v>42</v>
      </c>
      <c r="D9" s="40" t="s">
        <v>53</v>
      </c>
      <c r="E9" s="31"/>
      <c r="F9" s="40">
        <v>150.0</v>
      </c>
      <c r="G9" s="40" t="s">
        <v>51</v>
      </c>
      <c r="H9" s="50"/>
      <c r="I9" s="50"/>
      <c r="J9" s="50"/>
    </row>
    <row r="10">
      <c r="A10" s="21">
        <v>46035.0</v>
      </c>
      <c r="B10" s="24" t="s">
        <v>14</v>
      </c>
      <c r="C10" s="31" t="s">
        <v>42</v>
      </c>
      <c r="D10" s="40" t="s">
        <v>44</v>
      </c>
      <c r="E10" s="40">
        <v>150.0</v>
      </c>
      <c r="F10" s="40" t="s">
        <v>55</v>
      </c>
      <c r="G10" s="40" t="s">
        <v>51</v>
      </c>
      <c r="H10" s="56" t="s">
        <v>47</v>
      </c>
      <c r="I10" s="50"/>
      <c r="J10" s="50"/>
    </row>
    <row r="11">
      <c r="A11" s="21">
        <v>46036.0</v>
      </c>
      <c r="B11" s="24" t="s">
        <v>18</v>
      </c>
      <c r="C11" s="31" t="s">
        <v>42</v>
      </c>
      <c r="D11" s="40" t="s">
        <v>53</v>
      </c>
      <c r="E11" s="31"/>
      <c r="F11" s="40">
        <v>175.0</v>
      </c>
      <c r="G11" s="40" t="s">
        <v>51</v>
      </c>
      <c r="H11" s="50"/>
      <c r="I11" s="50"/>
      <c r="J11" s="50"/>
    </row>
    <row r="12">
      <c r="A12" s="21">
        <v>46037.0</v>
      </c>
      <c r="B12" s="24" t="s">
        <v>40</v>
      </c>
      <c r="C12" s="31" t="s">
        <v>42</v>
      </c>
      <c r="D12" s="40" t="s">
        <v>44</v>
      </c>
      <c r="E12" s="31"/>
      <c r="F12" s="40">
        <v>150.0</v>
      </c>
      <c r="G12" s="40" t="s">
        <v>51</v>
      </c>
      <c r="H12" s="50"/>
      <c r="I12" s="50"/>
      <c r="J12" s="50"/>
    </row>
    <row r="13">
      <c r="A13" s="21">
        <v>46038.0</v>
      </c>
      <c r="B13" s="24" t="s">
        <v>10</v>
      </c>
      <c r="C13" s="31" t="s">
        <v>42</v>
      </c>
      <c r="D13" s="40" t="s">
        <v>44</v>
      </c>
      <c r="E13" s="31"/>
      <c r="F13" s="40">
        <v>100.0</v>
      </c>
      <c r="G13" s="40" t="s">
        <v>51</v>
      </c>
      <c r="H13" s="50"/>
      <c r="I13" s="50"/>
      <c r="J13" s="50"/>
    </row>
    <row r="14">
      <c r="A14" s="21">
        <v>46041.0</v>
      </c>
      <c r="B14" s="24" t="s">
        <v>41</v>
      </c>
      <c r="C14" s="31" t="s">
        <v>42</v>
      </c>
      <c r="D14" s="40" t="s">
        <v>53</v>
      </c>
      <c r="E14" s="31"/>
      <c r="F14" s="40">
        <v>150.0</v>
      </c>
      <c r="G14" s="40" t="s">
        <v>51</v>
      </c>
      <c r="H14" s="50"/>
      <c r="I14" s="50"/>
      <c r="J14" s="50"/>
    </row>
    <row r="15">
      <c r="A15" s="21">
        <v>46042.0</v>
      </c>
      <c r="B15" s="24" t="s">
        <v>14</v>
      </c>
      <c r="C15" s="31" t="s">
        <v>42</v>
      </c>
      <c r="D15" s="40" t="s">
        <v>53</v>
      </c>
      <c r="E15" s="31"/>
      <c r="F15" s="40" t="s">
        <v>55</v>
      </c>
      <c r="G15" s="40" t="s">
        <v>51</v>
      </c>
      <c r="H15" s="50"/>
      <c r="I15" s="50"/>
      <c r="J15" s="50"/>
    </row>
    <row r="16">
      <c r="A16" s="21">
        <v>46043.0</v>
      </c>
      <c r="B16" s="24" t="s">
        <v>18</v>
      </c>
      <c r="C16" s="31" t="s">
        <v>42</v>
      </c>
      <c r="D16" s="40" t="s">
        <v>53</v>
      </c>
      <c r="E16" s="31"/>
      <c r="F16" s="40" t="s">
        <v>55</v>
      </c>
      <c r="G16" s="40" t="s">
        <v>51</v>
      </c>
      <c r="H16" s="50"/>
      <c r="I16" s="50"/>
      <c r="J16" s="50"/>
    </row>
    <row r="17">
      <c r="A17" s="74">
        <v>46044.0</v>
      </c>
      <c r="B17" s="76" t="s">
        <v>40</v>
      </c>
      <c r="C17" s="76" t="s">
        <v>42</v>
      </c>
      <c r="D17" s="76"/>
      <c r="E17" s="76"/>
      <c r="F17" s="76"/>
      <c r="G17" s="76"/>
      <c r="H17" s="78" t="s">
        <v>69</v>
      </c>
      <c r="I17" s="78" t="s">
        <v>71</v>
      </c>
      <c r="J17" s="79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74">
        <v>46045.0</v>
      </c>
      <c r="B18" s="76" t="s">
        <v>10</v>
      </c>
      <c r="C18" s="76" t="s">
        <v>42</v>
      </c>
      <c r="D18" s="76"/>
      <c r="E18" s="76"/>
      <c r="F18" s="76"/>
      <c r="G18" s="76"/>
      <c r="H18" s="78" t="s">
        <v>69</v>
      </c>
      <c r="I18" s="78" t="s">
        <v>71</v>
      </c>
      <c r="J18" s="79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21">
        <v>46048.0</v>
      </c>
      <c r="B19" s="24" t="s">
        <v>41</v>
      </c>
      <c r="C19" s="31" t="s">
        <v>42</v>
      </c>
      <c r="D19" s="40" t="s">
        <v>53</v>
      </c>
      <c r="E19" s="31"/>
      <c r="F19" s="40" t="s">
        <v>55</v>
      </c>
      <c r="G19" s="40" t="s">
        <v>51</v>
      </c>
      <c r="H19" s="50"/>
      <c r="I19" s="50"/>
      <c r="J19" s="50"/>
    </row>
    <row r="20">
      <c r="A20" s="21">
        <v>46049.0</v>
      </c>
      <c r="B20" s="24" t="s">
        <v>14</v>
      </c>
      <c r="C20" s="31" t="s">
        <v>42</v>
      </c>
      <c r="D20" s="40" t="s">
        <v>44</v>
      </c>
      <c r="E20" s="31"/>
      <c r="F20" s="40">
        <v>100.0</v>
      </c>
      <c r="G20" s="40" t="s">
        <v>51</v>
      </c>
      <c r="H20" s="50"/>
      <c r="I20" s="50"/>
      <c r="J20" s="50"/>
    </row>
    <row r="21" ht="15.75" customHeight="1">
      <c r="A21" s="21">
        <v>46050.0</v>
      </c>
      <c r="B21" s="24" t="s">
        <v>18</v>
      </c>
      <c r="C21" s="31" t="s">
        <v>42</v>
      </c>
      <c r="D21" s="40" t="s">
        <v>44</v>
      </c>
      <c r="E21" s="40">
        <v>200.0</v>
      </c>
      <c r="F21" s="40"/>
      <c r="G21" s="40" t="s">
        <v>46</v>
      </c>
      <c r="H21" s="56" t="s">
        <v>47</v>
      </c>
      <c r="I21" s="50"/>
      <c r="J21" s="50"/>
      <c r="L21" s="1" t="s">
        <v>80</v>
      </c>
      <c r="M21" s="1">
        <v>21.0</v>
      </c>
      <c r="N21" s="63">
        <f>M21/M4</f>
        <v>0.4666666667</v>
      </c>
    </row>
    <row r="22" ht="15.75" customHeight="1">
      <c r="A22" s="21">
        <v>46051.0</v>
      </c>
      <c r="B22" s="24" t="s">
        <v>40</v>
      </c>
      <c r="C22" s="31" t="s">
        <v>42</v>
      </c>
      <c r="D22" s="40" t="s">
        <v>44</v>
      </c>
      <c r="E22" s="31"/>
      <c r="F22" s="40" t="s">
        <v>55</v>
      </c>
      <c r="G22" s="40" t="s">
        <v>51</v>
      </c>
      <c r="H22" s="50"/>
      <c r="I22" s="50"/>
      <c r="J22" s="50"/>
    </row>
    <row r="23" ht="15.75" customHeight="1">
      <c r="A23" s="87">
        <v>46052.0</v>
      </c>
      <c r="B23" s="88" t="s">
        <v>10</v>
      </c>
      <c r="C23" s="91" t="s">
        <v>42</v>
      </c>
      <c r="D23" s="92" t="s">
        <v>53</v>
      </c>
      <c r="E23" s="92">
        <v>175.0</v>
      </c>
      <c r="F23" s="92">
        <v>150.0</v>
      </c>
      <c r="G23" s="92" t="s">
        <v>46</v>
      </c>
      <c r="H23" s="56" t="s">
        <v>47</v>
      </c>
      <c r="I23" s="93"/>
      <c r="J23" s="93"/>
      <c r="K23" s="39"/>
      <c r="L23" s="41" t="s">
        <v>83</v>
      </c>
      <c r="M23" s="41">
        <v>12.0</v>
      </c>
      <c r="N23" s="63">
        <f>M23/M4</f>
        <v>0.2666666667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5.75" customHeight="1">
      <c r="A24" s="21">
        <v>46055.0</v>
      </c>
      <c r="B24" s="24" t="s">
        <v>41</v>
      </c>
      <c r="C24" s="31" t="s">
        <v>42</v>
      </c>
      <c r="D24" s="40" t="s">
        <v>44</v>
      </c>
      <c r="E24" s="31"/>
      <c r="F24" s="40">
        <v>100.0</v>
      </c>
      <c r="G24" s="40" t="s">
        <v>51</v>
      </c>
      <c r="H24" s="50"/>
      <c r="I24" s="50"/>
      <c r="J24" s="50"/>
    </row>
    <row r="25" ht="15.75" customHeight="1">
      <c r="A25" s="21">
        <v>46056.0</v>
      </c>
      <c r="B25" s="24" t="s">
        <v>14</v>
      </c>
      <c r="C25" s="31" t="s">
        <v>42</v>
      </c>
      <c r="D25" s="40" t="s">
        <v>53</v>
      </c>
      <c r="E25" s="31"/>
      <c r="F25" s="40" t="s">
        <v>55</v>
      </c>
      <c r="G25" s="40" t="s">
        <v>51</v>
      </c>
      <c r="H25" s="50"/>
      <c r="I25" s="50"/>
      <c r="J25" s="50"/>
    </row>
    <row r="26" ht="15.75" customHeight="1">
      <c r="A26" s="21">
        <v>46057.0</v>
      </c>
      <c r="B26" s="24" t="s">
        <v>18</v>
      </c>
      <c r="C26" s="31" t="s">
        <v>42</v>
      </c>
      <c r="D26" s="40" t="s">
        <v>53</v>
      </c>
      <c r="E26" s="40">
        <v>200.0</v>
      </c>
      <c r="F26" s="31"/>
      <c r="G26" s="40" t="s">
        <v>46</v>
      </c>
      <c r="H26" s="95" t="s">
        <v>86</v>
      </c>
      <c r="I26" s="50"/>
      <c r="J26" s="50"/>
      <c r="L26" s="1" t="s">
        <v>87</v>
      </c>
      <c r="M26" s="1">
        <v>12.0</v>
      </c>
      <c r="N26" s="63">
        <f>M26/M4</f>
        <v>0.2666666667</v>
      </c>
    </row>
    <row r="27" ht="15.75" customHeight="1">
      <c r="A27" s="21">
        <v>46058.0</v>
      </c>
      <c r="B27" s="24" t="s">
        <v>40</v>
      </c>
      <c r="C27" s="31" t="s">
        <v>42</v>
      </c>
      <c r="D27" s="96" t="s">
        <v>44</v>
      </c>
      <c r="E27" s="96">
        <v>200.0</v>
      </c>
      <c r="F27" s="97"/>
      <c r="G27" s="96" t="s">
        <v>46</v>
      </c>
      <c r="H27" s="56" t="s">
        <v>47</v>
      </c>
      <c r="I27" s="96"/>
      <c r="J27" s="98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5.75" customHeight="1">
      <c r="A28" s="99">
        <v>46059.0</v>
      </c>
      <c r="B28" s="100" t="s">
        <v>10</v>
      </c>
      <c r="C28" s="100" t="s">
        <v>42</v>
      </c>
      <c r="D28" s="101" t="s">
        <v>44</v>
      </c>
      <c r="E28" s="101">
        <v>200.0</v>
      </c>
      <c r="F28" s="100"/>
      <c r="G28" s="101" t="s">
        <v>46</v>
      </c>
      <c r="H28" s="56" t="s">
        <v>47</v>
      </c>
      <c r="I28" s="101"/>
      <c r="J28" s="102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21">
        <v>46062.0</v>
      </c>
      <c r="B29" s="24" t="s">
        <v>41</v>
      </c>
      <c r="C29" s="31" t="s">
        <v>42</v>
      </c>
      <c r="D29" s="40" t="s">
        <v>44</v>
      </c>
      <c r="E29" s="40">
        <v>200.0</v>
      </c>
      <c r="F29" s="31"/>
      <c r="G29" s="40" t="s">
        <v>46</v>
      </c>
      <c r="H29" s="103" t="s">
        <v>90</v>
      </c>
      <c r="I29" s="42"/>
      <c r="J29" s="42"/>
    </row>
    <row r="30" ht="15.75" customHeight="1">
      <c r="A30" s="99">
        <v>46063.0</v>
      </c>
      <c r="B30" s="101" t="s">
        <v>91</v>
      </c>
      <c r="C30" s="100" t="s">
        <v>42</v>
      </c>
      <c r="D30" s="101" t="s">
        <v>53</v>
      </c>
      <c r="E30" s="101">
        <v>200.0</v>
      </c>
      <c r="F30" s="100"/>
      <c r="G30" s="101" t="s">
        <v>46</v>
      </c>
      <c r="H30" s="103" t="s">
        <v>90</v>
      </c>
      <c r="I30" s="101"/>
      <c r="J30" s="102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21">
        <v>46064.0</v>
      </c>
      <c r="B31" s="24" t="s">
        <v>18</v>
      </c>
      <c r="C31" s="31" t="s">
        <v>42</v>
      </c>
      <c r="D31" s="40" t="s">
        <v>44</v>
      </c>
      <c r="E31" s="40">
        <v>200.0</v>
      </c>
      <c r="F31" s="31"/>
      <c r="G31" s="40" t="s">
        <v>46</v>
      </c>
      <c r="H31" s="56" t="s">
        <v>47</v>
      </c>
      <c r="I31" s="42"/>
      <c r="J31" s="42"/>
    </row>
    <row r="32" ht="15.75" customHeight="1">
      <c r="A32" s="21">
        <v>46065.0</v>
      </c>
      <c r="B32" s="24" t="s">
        <v>40</v>
      </c>
      <c r="C32" s="31" t="s">
        <v>42</v>
      </c>
      <c r="D32" s="40" t="s">
        <v>44</v>
      </c>
      <c r="E32" s="40">
        <v>150.0</v>
      </c>
      <c r="F32" s="40" t="s">
        <v>55</v>
      </c>
      <c r="G32" s="40" t="s">
        <v>51</v>
      </c>
      <c r="H32" s="56" t="s">
        <v>47</v>
      </c>
      <c r="I32" s="42"/>
      <c r="J32" s="42"/>
    </row>
    <row r="33" ht="15.75" customHeight="1">
      <c r="A33" s="21">
        <v>46066.0</v>
      </c>
      <c r="B33" s="24" t="s">
        <v>10</v>
      </c>
      <c r="C33" s="31" t="s">
        <v>42</v>
      </c>
      <c r="D33" s="40" t="s">
        <v>53</v>
      </c>
      <c r="E33" s="40">
        <v>200.0</v>
      </c>
      <c r="F33" s="31"/>
      <c r="G33" s="40" t="s">
        <v>46</v>
      </c>
      <c r="H33" s="95" t="s">
        <v>86</v>
      </c>
      <c r="I33" s="42"/>
      <c r="J33" s="42"/>
    </row>
    <row r="34" ht="15.75" customHeight="1">
      <c r="A34" s="74">
        <v>46069.0</v>
      </c>
      <c r="B34" s="76" t="s">
        <v>41</v>
      </c>
      <c r="C34" s="76" t="s">
        <v>42</v>
      </c>
      <c r="D34" s="76"/>
      <c r="E34" s="76"/>
      <c r="F34" s="76"/>
      <c r="G34" s="76"/>
      <c r="H34" s="78" t="s">
        <v>92</v>
      </c>
      <c r="I34" s="76"/>
      <c r="J34" s="76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15.75" customHeight="1">
      <c r="A35" s="74">
        <v>46070.0</v>
      </c>
      <c r="B35" s="76" t="s">
        <v>14</v>
      </c>
      <c r="C35" s="76" t="s">
        <v>42</v>
      </c>
      <c r="D35" s="76"/>
      <c r="E35" s="76"/>
      <c r="F35" s="76"/>
      <c r="G35" s="76"/>
      <c r="H35" s="78" t="s">
        <v>92</v>
      </c>
      <c r="I35" s="76"/>
      <c r="J35" s="76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5.75" customHeight="1">
      <c r="A36" s="74">
        <v>46071.0</v>
      </c>
      <c r="B36" s="76" t="s">
        <v>18</v>
      </c>
      <c r="C36" s="76" t="s">
        <v>42</v>
      </c>
      <c r="D36" s="76"/>
      <c r="E36" s="76"/>
      <c r="F36" s="76"/>
      <c r="G36" s="76"/>
      <c r="H36" s="78" t="s">
        <v>95</v>
      </c>
      <c r="I36" s="76"/>
      <c r="J36" s="76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15.75" customHeight="1">
      <c r="A37" s="74">
        <v>46072.0</v>
      </c>
      <c r="B37" s="76" t="s">
        <v>40</v>
      </c>
      <c r="C37" s="76" t="s">
        <v>42</v>
      </c>
      <c r="D37" s="76"/>
      <c r="E37" s="76"/>
      <c r="F37" s="76"/>
      <c r="G37" s="78"/>
      <c r="H37" s="78" t="s">
        <v>69</v>
      </c>
      <c r="I37" s="78" t="s">
        <v>71</v>
      </c>
      <c r="J37" s="76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5.75" customHeight="1">
      <c r="A38" s="21">
        <v>46073.0</v>
      </c>
      <c r="B38" s="24" t="s">
        <v>10</v>
      </c>
      <c r="C38" s="31" t="s">
        <v>42</v>
      </c>
      <c r="D38" s="40" t="s">
        <v>53</v>
      </c>
      <c r="E38" s="31"/>
      <c r="F38" s="40">
        <v>125.0</v>
      </c>
      <c r="G38" s="40" t="s">
        <v>51</v>
      </c>
      <c r="H38" s="42"/>
      <c r="I38" s="42"/>
      <c r="J38" s="42"/>
    </row>
    <row r="39" ht="15.75" customHeight="1">
      <c r="A39" s="21">
        <v>46076.0</v>
      </c>
      <c r="B39" s="24" t="s">
        <v>41</v>
      </c>
      <c r="C39" s="31" t="s">
        <v>42</v>
      </c>
      <c r="D39" s="40" t="s">
        <v>53</v>
      </c>
      <c r="E39" s="31"/>
      <c r="F39" s="40" t="s">
        <v>55</v>
      </c>
      <c r="G39" s="40" t="s">
        <v>51</v>
      </c>
      <c r="H39" s="42"/>
      <c r="I39" s="42"/>
      <c r="J39" s="42"/>
    </row>
    <row r="40" ht="15.75" customHeight="1">
      <c r="A40" s="21">
        <v>46077.0</v>
      </c>
      <c r="B40" s="24" t="s">
        <v>14</v>
      </c>
      <c r="C40" s="31" t="s">
        <v>42</v>
      </c>
      <c r="D40" s="40" t="s">
        <v>44</v>
      </c>
      <c r="E40" s="40"/>
      <c r="F40" s="40" t="s">
        <v>55</v>
      </c>
      <c r="G40" s="40" t="s">
        <v>51</v>
      </c>
      <c r="H40" s="42"/>
      <c r="I40" s="42"/>
      <c r="J40" s="42"/>
    </row>
    <row r="41" ht="15.75" customHeight="1">
      <c r="A41" s="21">
        <v>46078.0</v>
      </c>
      <c r="B41" s="24" t="s">
        <v>18</v>
      </c>
      <c r="C41" s="31" t="s">
        <v>42</v>
      </c>
      <c r="D41" s="40" t="s">
        <v>44</v>
      </c>
      <c r="E41" s="31"/>
      <c r="F41" s="40">
        <v>100.0</v>
      </c>
      <c r="G41" s="40" t="s">
        <v>51</v>
      </c>
      <c r="H41" s="42"/>
      <c r="I41" s="42"/>
      <c r="J41" s="42"/>
    </row>
    <row r="42" ht="15.75" customHeight="1">
      <c r="A42" s="21">
        <v>46079.0</v>
      </c>
      <c r="B42" s="24" t="s">
        <v>40</v>
      </c>
      <c r="C42" s="31" t="s">
        <v>42</v>
      </c>
      <c r="D42" s="40" t="s">
        <v>44</v>
      </c>
      <c r="E42" s="31"/>
      <c r="F42" s="40" t="s">
        <v>55</v>
      </c>
      <c r="G42" s="40" t="s">
        <v>51</v>
      </c>
      <c r="H42" s="42"/>
      <c r="I42" s="42"/>
      <c r="J42" s="42"/>
    </row>
    <row r="43" ht="15.75" customHeight="1">
      <c r="A43" s="87">
        <v>46080.0</v>
      </c>
      <c r="B43" s="88" t="s">
        <v>10</v>
      </c>
      <c r="C43" s="91" t="s">
        <v>42</v>
      </c>
      <c r="D43" s="92" t="s">
        <v>53</v>
      </c>
      <c r="E43" s="91"/>
      <c r="F43" s="92">
        <v>125.0</v>
      </c>
      <c r="G43" s="92" t="s">
        <v>51</v>
      </c>
      <c r="H43" s="107"/>
      <c r="I43" s="107"/>
      <c r="J43" s="107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5.75" customHeight="1">
      <c r="A44" s="21">
        <v>46083.0</v>
      </c>
      <c r="B44" s="24" t="s">
        <v>41</v>
      </c>
      <c r="C44" s="31" t="s">
        <v>42</v>
      </c>
      <c r="D44" s="40" t="s">
        <v>44</v>
      </c>
      <c r="E44" s="31"/>
      <c r="F44" s="40">
        <v>100.0</v>
      </c>
      <c r="G44" s="40" t="s">
        <v>51</v>
      </c>
      <c r="H44" s="42"/>
      <c r="I44" s="42"/>
      <c r="J44" s="42"/>
    </row>
    <row r="45" ht="15.75" customHeight="1">
      <c r="A45" s="21">
        <v>46084.0</v>
      </c>
      <c r="B45" s="24" t="s">
        <v>14</v>
      </c>
      <c r="C45" s="31" t="s">
        <v>42</v>
      </c>
      <c r="D45" s="40" t="s">
        <v>53</v>
      </c>
      <c r="E45" s="40"/>
      <c r="F45" s="40" t="s">
        <v>55</v>
      </c>
      <c r="G45" s="40" t="s">
        <v>51</v>
      </c>
      <c r="H45" s="42"/>
      <c r="I45" s="42"/>
      <c r="J45" s="42"/>
    </row>
    <row r="46" ht="15.75" customHeight="1">
      <c r="A46" s="21">
        <v>46085.0</v>
      </c>
      <c r="B46" s="24" t="s">
        <v>18</v>
      </c>
      <c r="C46" s="31" t="s">
        <v>42</v>
      </c>
      <c r="D46" s="40" t="s">
        <v>44</v>
      </c>
      <c r="E46" s="40">
        <v>200.0</v>
      </c>
      <c r="F46" s="40"/>
      <c r="G46" s="40" t="s">
        <v>46</v>
      </c>
      <c r="H46" s="56" t="s">
        <v>47</v>
      </c>
      <c r="I46" s="42"/>
      <c r="J46" s="42"/>
    </row>
    <row r="47" ht="15.75" customHeight="1">
      <c r="A47" s="21">
        <v>46086.0</v>
      </c>
      <c r="B47" s="24" t="s">
        <v>40</v>
      </c>
      <c r="C47" s="31" t="s">
        <v>42</v>
      </c>
      <c r="D47" s="40" t="s">
        <v>53</v>
      </c>
      <c r="E47" s="40"/>
      <c r="F47" s="40">
        <v>100.0</v>
      </c>
      <c r="G47" s="40" t="s">
        <v>51</v>
      </c>
      <c r="H47" s="42"/>
      <c r="I47" s="42"/>
      <c r="J47" s="42"/>
    </row>
    <row r="48" ht="15.75" customHeight="1">
      <c r="A48" s="21">
        <v>46087.0</v>
      </c>
      <c r="B48" s="24" t="s">
        <v>10</v>
      </c>
      <c r="C48" s="31" t="s">
        <v>42</v>
      </c>
      <c r="D48" s="40" t="s">
        <v>53</v>
      </c>
      <c r="E48" s="40">
        <v>200.0</v>
      </c>
      <c r="F48" s="40"/>
      <c r="G48" s="40" t="s">
        <v>46</v>
      </c>
      <c r="H48" s="103" t="s">
        <v>90</v>
      </c>
      <c r="I48" s="42"/>
      <c r="J48" s="42"/>
    </row>
    <row r="49" ht="15.75" customHeight="1">
      <c r="A49" s="110">
        <v>46090.0</v>
      </c>
      <c r="B49" s="31" t="s">
        <v>41</v>
      </c>
      <c r="C49" s="31" t="s">
        <v>42</v>
      </c>
      <c r="D49" s="40" t="s">
        <v>44</v>
      </c>
      <c r="E49" s="31"/>
      <c r="F49" s="40">
        <v>100.0</v>
      </c>
      <c r="G49" s="40" t="s">
        <v>51</v>
      </c>
      <c r="H49" s="42"/>
      <c r="I49" s="42"/>
      <c r="J49" s="42"/>
    </row>
    <row r="50" ht="15.75" customHeight="1">
      <c r="A50" s="110">
        <v>46091.0</v>
      </c>
      <c r="B50" s="31" t="s">
        <v>14</v>
      </c>
      <c r="C50" s="31" t="s">
        <v>42</v>
      </c>
      <c r="D50" s="40" t="s">
        <v>53</v>
      </c>
      <c r="E50" s="31"/>
      <c r="F50" s="40">
        <v>150.0</v>
      </c>
      <c r="G50" s="40" t="s">
        <v>51</v>
      </c>
      <c r="H50" s="42"/>
      <c r="I50" s="42"/>
      <c r="J50" s="42"/>
    </row>
    <row r="51" ht="15.75" customHeight="1">
      <c r="A51" s="110">
        <v>46092.0</v>
      </c>
      <c r="B51" s="31" t="s">
        <v>18</v>
      </c>
      <c r="C51" s="31" t="s">
        <v>42</v>
      </c>
      <c r="D51" s="40" t="s">
        <v>53</v>
      </c>
      <c r="E51" s="40"/>
      <c r="F51" s="40">
        <v>150.0</v>
      </c>
      <c r="G51" s="40" t="s">
        <v>51</v>
      </c>
      <c r="H51" s="42"/>
      <c r="I51" s="42"/>
      <c r="J51" s="42"/>
    </row>
    <row r="52" ht="15.75" customHeight="1">
      <c r="A52" s="110">
        <v>46093.0</v>
      </c>
      <c r="B52" s="40" t="s">
        <v>58</v>
      </c>
      <c r="C52" s="31" t="s">
        <v>42</v>
      </c>
      <c r="D52" s="40" t="s">
        <v>44</v>
      </c>
      <c r="E52" s="40">
        <v>200.0</v>
      </c>
      <c r="F52" s="31"/>
      <c r="G52" s="40" t="s">
        <v>46</v>
      </c>
      <c r="H52" s="56" t="s">
        <v>47</v>
      </c>
      <c r="I52" s="42"/>
      <c r="J52" s="42"/>
    </row>
    <row r="53" ht="15.75" customHeight="1">
      <c r="A53" s="110">
        <v>46094.0</v>
      </c>
      <c r="B53" s="31" t="s">
        <v>10</v>
      </c>
      <c r="C53" s="31" t="s">
        <v>42</v>
      </c>
      <c r="D53" s="40" t="s">
        <v>53</v>
      </c>
      <c r="E53" s="40">
        <v>200.0</v>
      </c>
      <c r="F53" s="31"/>
      <c r="G53" s="40" t="s">
        <v>46</v>
      </c>
      <c r="H53" s="103" t="s">
        <v>90</v>
      </c>
      <c r="I53" s="42"/>
      <c r="J53" s="42"/>
    </row>
    <row r="54" ht="15.75" customHeight="1">
      <c r="A54" s="110">
        <v>46097.0</v>
      </c>
      <c r="B54" s="31" t="s">
        <v>41</v>
      </c>
      <c r="C54" s="31" t="s">
        <v>42</v>
      </c>
      <c r="D54" s="40" t="s">
        <v>44</v>
      </c>
      <c r="E54" s="40">
        <v>200.0</v>
      </c>
      <c r="F54" s="31"/>
      <c r="G54" s="40" t="s">
        <v>46</v>
      </c>
      <c r="H54" s="95" t="s">
        <v>86</v>
      </c>
      <c r="I54" s="42"/>
      <c r="J54" s="42"/>
    </row>
    <row r="55" ht="15.75" customHeight="1">
      <c r="A55" s="110">
        <v>46098.0</v>
      </c>
      <c r="B55" s="31" t="s">
        <v>14</v>
      </c>
      <c r="C55" s="31" t="s">
        <v>42</v>
      </c>
      <c r="D55" s="40" t="s">
        <v>44</v>
      </c>
      <c r="E55" s="40">
        <v>200.0</v>
      </c>
      <c r="F55" s="31"/>
      <c r="G55" s="40" t="s">
        <v>46</v>
      </c>
      <c r="H55" s="103" t="s">
        <v>90</v>
      </c>
      <c r="I55" s="42"/>
      <c r="J55" s="42"/>
    </row>
    <row r="56" ht="15.75" customHeight="1">
      <c r="A56" s="110">
        <v>46099.0</v>
      </c>
      <c r="B56" s="31" t="s">
        <v>18</v>
      </c>
      <c r="C56" s="31" t="s">
        <v>42</v>
      </c>
      <c r="D56" s="40" t="s">
        <v>53</v>
      </c>
      <c r="E56" s="31"/>
      <c r="F56" s="40" t="s">
        <v>55</v>
      </c>
      <c r="G56" s="40" t="s">
        <v>51</v>
      </c>
      <c r="H56" s="42"/>
      <c r="I56" s="42"/>
      <c r="J56" s="42"/>
    </row>
    <row r="57" ht="15.75" customHeight="1">
      <c r="A57" s="110">
        <v>46100.0</v>
      </c>
      <c r="B57" s="31" t="s">
        <v>40</v>
      </c>
      <c r="C57" s="31" t="s">
        <v>42</v>
      </c>
      <c r="D57" s="40" t="s">
        <v>44</v>
      </c>
      <c r="E57" s="40">
        <v>200.0</v>
      </c>
      <c r="F57" s="31"/>
      <c r="G57" s="40" t="s">
        <v>46</v>
      </c>
      <c r="H57" s="95" t="s">
        <v>86</v>
      </c>
      <c r="I57" s="42"/>
      <c r="J57" s="42"/>
    </row>
    <row r="58" ht="15.75" customHeight="1">
      <c r="A58" s="110">
        <v>46101.0</v>
      </c>
      <c r="B58" s="31" t="s">
        <v>10</v>
      </c>
      <c r="C58" s="31" t="s">
        <v>42</v>
      </c>
      <c r="D58" s="40" t="s">
        <v>44</v>
      </c>
      <c r="E58" s="31"/>
      <c r="F58" s="40">
        <v>100.0</v>
      </c>
      <c r="G58" s="40" t="s">
        <v>51</v>
      </c>
      <c r="H58" s="42"/>
      <c r="I58" s="42"/>
      <c r="J58" s="42"/>
    </row>
    <row r="59" ht="15.75" customHeight="1">
      <c r="A59" s="110">
        <v>46104.0</v>
      </c>
      <c r="B59" s="31" t="s">
        <v>41</v>
      </c>
      <c r="C59" s="31" t="s">
        <v>42</v>
      </c>
      <c r="D59" s="40" t="s">
        <v>44</v>
      </c>
      <c r="E59" s="31"/>
      <c r="F59" s="40">
        <v>175.0</v>
      </c>
      <c r="G59" s="40" t="s">
        <v>51</v>
      </c>
      <c r="H59" s="42"/>
      <c r="I59" s="42"/>
      <c r="J59" s="42"/>
    </row>
    <row r="60" ht="15.75" customHeight="1">
      <c r="A60" s="110">
        <v>46105.0</v>
      </c>
      <c r="B60" s="31" t="s">
        <v>14</v>
      </c>
      <c r="C60" s="31" t="s">
        <v>42</v>
      </c>
      <c r="D60" s="40" t="s">
        <v>44</v>
      </c>
      <c r="E60" s="40">
        <v>200.0</v>
      </c>
      <c r="F60" s="31"/>
      <c r="G60" s="40" t="s">
        <v>46</v>
      </c>
      <c r="H60" s="95" t="s">
        <v>86</v>
      </c>
      <c r="I60" s="42"/>
      <c r="J60" s="42"/>
    </row>
    <row r="61" ht="15.75" customHeight="1">
      <c r="A61" s="110">
        <v>46106.0</v>
      </c>
      <c r="B61" s="31" t="s">
        <v>18</v>
      </c>
      <c r="C61" s="31" t="s">
        <v>42</v>
      </c>
      <c r="D61" s="40" t="s">
        <v>53</v>
      </c>
      <c r="E61" s="31"/>
      <c r="F61" s="40" t="s">
        <v>55</v>
      </c>
      <c r="G61" s="40" t="s">
        <v>51</v>
      </c>
      <c r="H61" s="42"/>
      <c r="I61" s="42"/>
      <c r="J61" s="42"/>
    </row>
    <row r="62" ht="15.75" customHeight="1">
      <c r="A62" s="110">
        <v>46107.0</v>
      </c>
      <c r="B62" s="31" t="s">
        <v>40</v>
      </c>
      <c r="C62" s="31" t="s">
        <v>42</v>
      </c>
      <c r="D62" s="40" t="s">
        <v>53</v>
      </c>
      <c r="E62" s="31"/>
      <c r="F62" s="40" t="s">
        <v>55</v>
      </c>
      <c r="G62" s="40" t="s">
        <v>51</v>
      </c>
      <c r="H62" s="42"/>
      <c r="I62" s="42"/>
      <c r="J62" s="42"/>
    </row>
    <row r="63" ht="15.75" customHeight="1">
      <c r="A63" s="110">
        <v>46108.0</v>
      </c>
      <c r="B63" s="31" t="s">
        <v>10</v>
      </c>
      <c r="C63" s="31" t="s">
        <v>42</v>
      </c>
      <c r="D63" s="40" t="s">
        <v>53</v>
      </c>
      <c r="E63" s="40">
        <v>200.0</v>
      </c>
      <c r="F63" s="31"/>
      <c r="G63" s="40" t="s">
        <v>46</v>
      </c>
      <c r="H63" s="56" t="s">
        <v>47</v>
      </c>
      <c r="I63" s="42"/>
      <c r="J63" s="42"/>
    </row>
    <row r="64" ht="15.75" customHeight="1">
      <c r="A64" s="110">
        <v>46111.0</v>
      </c>
      <c r="B64" s="31" t="s">
        <v>41</v>
      </c>
      <c r="C64" s="31" t="s">
        <v>42</v>
      </c>
      <c r="D64" s="40" t="s">
        <v>44</v>
      </c>
      <c r="E64" s="40">
        <v>200.0</v>
      </c>
      <c r="F64" s="31"/>
      <c r="G64" s="40" t="s">
        <v>46</v>
      </c>
      <c r="H64" s="95" t="s">
        <v>86</v>
      </c>
      <c r="I64" s="42"/>
      <c r="J64" s="42"/>
    </row>
    <row r="65" ht="15.75" customHeight="1">
      <c r="A65" s="113">
        <v>46112.0</v>
      </c>
      <c r="B65" s="91" t="s">
        <v>14</v>
      </c>
      <c r="C65" s="91" t="s">
        <v>42</v>
      </c>
      <c r="D65" s="92" t="s">
        <v>44</v>
      </c>
      <c r="E65" s="91"/>
      <c r="F65" s="92">
        <v>175.0</v>
      </c>
      <c r="G65" s="92" t="s">
        <v>51</v>
      </c>
      <c r="H65" s="107"/>
      <c r="I65" s="107"/>
      <c r="J65" s="107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5.75" customHeight="1">
      <c r="A66" s="74">
        <v>46113.0</v>
      </c>
      <c r="B66" s="76" t="s">
        <v>18</v>
      </c>
      <c r="C66" s="76" t="s">
        <v>42</v>
      </c>
      <c r="D66" s="76"/>
      <c r="E66" s="76"/>
      <c r="F66" s="76"/>
      <c r="G66" s="76"/>
      <c r="H66" s="78" t="s">
        <v>101</v>
      </c>
      <c r="I66" s="76"/>
      <c r="J66" s="114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15.75" customHeight="1">
      <c r="A67" s="110">
        <v>46114.0</v>
      </c>
      <c r="B67" s="31" t="s">
        <v>40</v>
      </c>
      <c r="C67" s="31" t="s">
        <v>42</v>
      </c>
      <c r="D67" s="40" t="s">
        <v>53</v>
      </c>
      <c r="E67" s="40">
        <v>200.0</v>
      </c>
      <c r="F67" s="31"/>
      <c r="G67" s="40" t="s">
        <v>46</v>
      </c>
      <c r="H67" s="95" t="s">
        <v>86</v>
      </c>
      <c r="I67" s="42"/>
      <c r="J67" s="42"/>
    </row>
    <row r="68" ht="15.75" customHeight="1">
      <c r="A68" s="110">
        <v>46115.0</v>
      </c>
      <c r="B68" s="31" t="s">
        <v>10</v>
      </c>
      <c r="C68" s="31" t="s">
        <v>42</v>
      </c>
      <c r="D68" s="40" t="s">
        <v>53</v>
      </c>
      <c r="E68" s="31"/>
      <c r="F68" s="40">
        <v>125.0</v>
      </c>
      <c r="G68" s="40" t="s">
        <v>51</v>
      </c>
      <c r="H68" s="42"/>
      <c r="I68" s="42"/>
      <c r="J68" s="42"/>
    </row>
    <row r="69" ht="15.75" customHeight="1">
      <c r="A69" s="110">
        <v>46118.0</v>
      </c>
      <c r="B69" s="31" t="s">
        <v>41</v>
      </c>
      <c r="C69" s="31" t="s">
        <v>42</v>
      </c>
      <c r="D69" s="40" t="s">
        <v>53</v>
      </c>
      <c r="E69" s="31"/>
      <c r="F69" s="40">
        <v>100.0</v>
      </c>
      <c r="G69" s="40" t="s">
        <v>51</v>
      </c>
      <c r="H69" s="42"/>
      <c r="I69" s="42"/>
      <c r="J69" s="42"/>
    </row>
    <row r="70" ht="15.75" customHeight="1">
      <c r="A70" s="110">
        <v>46119.0</v>
      </c>
      <c r="B70" s="31" t="s">
        <v>14</v>
      </c>
      <c r="C70" s="31" t="s">
        <v>42</v>
      </c>
      <c r="D70" s="40" t="s">
        <v>53</v>
      </c>
      <c r="E70" s="31"/>
      <c r="F70" s="40">
        <v>100.0</v>
      </c>
      <c r="G70" s="40" t="s">
        <v>51</v>
      </c>
      <c r="H70" s="42"/>
      <c r="I70" s="42"/>
      <c r="J70" s="42"/>
    </row>
    <row r="71" ht="15.75" customHeight="1">
      <c r="A71" s="110">
        <v>46120.0</v>
      </c>
      <c r="B71" s="31" t="s">
        <v>18</v>
      </c>
      <c r="C71" s="31" t="s">
        <v>42</v>
      </c>
      <c r="D71" s="40" t="s">
        <v>44</v>
      </c>
      <c r="E71" s="31"/>
      <c r="F71" s="40" t="s">
        <v>55</v>
      </c>
      <c r="G71" s="40" t="s">
        <v>51</v>
      </c>
      <c r="H71" s="42"/>
      <c r="I71" s="42"/>
      <c r="J71" s="42"/>
    </row>
    <row r="72" ht="15.75" customHeight="1">
      <c r="A72" s="110">
        <v>46121.0</v>
      </c>
      <c r="B72" s="31" t="s">
        <v>40</v>
      </c>
      <c r="C72" s="31" t="s">
        <v>42</v>
      </c>
      <c r="D72" s="40" t="s">
        <v>53</v>
      </c>
      <c r="E72" s="31"/>
      <c r="F72" s="40">
        <v>125.0</v>
      </c>
      <c r="G72" s="40" t="s">
        <v>51</v>
      </c>
      <c r="H72" s="42"/>
      <c r="I72" s="42"/>
      <c r="J72" s="42"/>
    </row>
    <row r="73" ht="15.75" customHeight="1">
      <c r="A73" s="110">
        <v>46122.0</v>
      </c>
      <c r="B73" s="40" t="s">
        <v>60</v>
      </c>
      <c r="C73" s="31" t="s">
        <v>42</v>
      </c>
      <c r="D73" s="40" t="s">
        <v>44</v>
      </c>
      <c r="E73" s="31"/>
      <c r="F73" s="40" t="s">
        <v>55</v>
      </c>
      <c r="G73" s="40" t="s">
        <v>51</v>
      </c>
      <c r="H73" s="42"/>
      <c r="I73" s="42"/>
      <c r="J73" s="42"/>
    </row>
    <row r="74" ht="15.75" customHeight="1">
      <c r="A74" s="74">
        <v>46125.0</v>
      </c>
      <c r="B74" s="76" t="s">
        <v>41</v>
      </c>
      <c r="C74" s="76" t="s">
        <v>42</v>
      </c>
      <c r="D74" s="76"/>
      <c r="E74" s="76"/>
      <c r="F74" s="76"/>
      <c r="G74" s="76"/>
      <c r="H74" s="78" t="s">
        <v>69</v>
      </c>
      <c r="I74" s="78" t="s">
        <v>71</v>
      </c>
      <c r="J74" s="78" t="s">
        <v>102</v>
      </c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ht="15.75" customHeight="1">
      <c r="A75" s="110">
        <v>46126.0</v>
      </c>
      <c r="B75" s="31" t="s">
        <v>14</v>
      </c>
      <c r="C75" s="31" t="s">
        <v>42</v>
      </c>
      <c r="D75" s="40" t="s">
        <v>53</v>
      </c>
      <c r="E75" s="40">
        <v>200.0</v>
      </c>
      <c r="F75" s="31"/>
      <c r="G75" s="40" t="s">
        <v>46</v>
      </c>
      <c r="H75" s="56" t="s">
        <v>47</v>
      </c>
      <c r="I75" s="42"/>
      <c r="J75" s="42"/>
    </row>
    <row r="76" ht="15.75" customHeight="1">
      <c r="A76" s="110">
        <v>46127.0</v>
      </c>
      <c r="B76" s="31" t="s">
        <v>18</v>
      </c>
      <c r="C76" s="31" t="s">
        <v>42</v>
      </c>
      <c r="D76" s="40" t="s">
        <v>53</v>
      </c>
      <c r="E76" s="31"/>
      <c r="F76" s="40">
        <v>150.0</v>
      </c>
      <c r="G76" s="40" t="s">
        <v>51</v>
      </c>
      <c r="H76" s="42"/>
      <c r="I76" s="42"/>
      <c r="J76" s="42"/>
    </row>
    <row r="77" ht="15.75" customHeight="1">
      <c r="A77" s="110">
        <v>46128.0</v>
      </c>
      <c r="B77" s="31" t="s">
        <v>40</v>
      </c>
      <c r="C77" s="31" t="s">
        <v>42</v>
      </c>
      <c r="D77" s="40" t="s">
        <v>44</v>
      </c>
      <c r="E77" s="31"/>
      <c r="F77" s="40" t="s">
        <v>55</v>
      </c>
      <c r="G77" s="40" t="s">
        <v>51</v>
      </c>
      <c r="H77" s="42"/>
      <c r="I77" s="42"/>
      <c r="J77" s="42"/>
    </row>
    <row r="78" ht="15.75" customHeight="1">
      <c r="A78" s="110">
        <v>46129.0</v>
      </c>
      <c r="B78" s="31" t="s">
        <v>10</v>
      </c>
      <c r="C78" s="31" t="s">
        <v>42</v>
      </c>
      <c r="D78" s="40" t="s">
        <v>44</v>
      </c>
      <c r="E78" s="31"/>
      <c r="F78" s="40" t="s">
        <v>55</v>
      </c>
      <c r="G78" s="40" t="s">
        <v>51</v>
      </c>
      <c r="H78" s="42"/>
      <c r="I78" s="42"/>
      <c r="J78" s="42"/>
    </row>
    <row r="79" ht="15.75" customHeight="1">
      <c r="A79" s="110">
        <v>46132.0</v>
      </c>
      <c r="B79" s="31" t="s">
        <v>41</v>
      </c>
      <c r="C79" s="31" t="s">
        <v>42</v>
      </c>
      <c r="D79" s="40" t="s">
        <v>44</v>
      </c>
      <c r="E79" s="40">
        <v>200.0</v>
      </c>
      <c r="F79" s="31"/>
      <c r="G79" s="40" t="s">
        <v>46</v>
      </c>
      <c r="H79" s="56" t="s">
        <v>47</v>
      </c>
      <c r="I79" s="42"/>
      <c r="J79" s="42"/>
    </row>
    <row r="80" ht="15.75" customHeight="1">
      <c r="A80" s="74">
        <v>46133.0</v>
      </c>
      <c r="B80" s="76" t="s">
        <v>14</v>
      </c>
      <c r="C80" s="76" t="s">
        <v>42</v>
      </c>
      <c r="D80" s="76"/>
      <c r="E80" s="76"/>
      <c r="F80" s="76"/>
      <c r="G80" s="76"/>
      <c r="H80" s="78" t="s">
        <v>92</v>
      </c>
      <c r="I80" s="76"/>
      <c r="J80" s="76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15.75" customHeight="1">
      <c r="A81" s="110">
        <v>46134.0</v>
      </c>
      <c r="B81" s="31" t="s">
        <v>18</v>
      </c>
      <c r="C81" s="31" t="s">
        <v>42</v>
      </c>
      <c r="D81" s="40" t="s">
        <v>44</v>
      </c>
      <c r="E81" s="31"/>
      <c r="F81" s="40" t="s">
        <v>55</v>
      </c>
      <c r="G81" s="40" t="s">
        <v>51</v>
      </c>
      <c r="H81" s="42"/>
      <c r="I81" s="42"/>
      <c r="J81" s="42"/>
    </row>
    <row r="82" ht="15.75" customHeight="1">
      <c r="A82" s="110">
        <v>46135.0</v>
      </c>
      <c r="B82" s="31" t="s">
        <v>40</v>
      </c>
      <c r="C82" s="31" t="s">
        <v>42</v>
      </c>
      <c r="D82" s="40" t="s">
        <v>44</v>
      </c>
      <c r="E82" s="40">
        <v>200.0</v>
      </c>
      <c r="F82" s="31"/>
      <c r="G82" s="40" t="s">
        <v>46</v>
      </c>
      <c r="H82" s="56" t="s">
        <v>47</v>
      </c>
      <c r="I82" s="42"/>
      <c r="J82" s="42"/>
    </row>
    <row r="83" ht="15.75" customHeight="1">
      <c r="A83" s="110">
        <v>46136.0</v>
      </c>
      <c r="B83" s="31" t="s">
        <v>10</v>
      </c>
      <c r="C83" s="31" t="s">
        <v>42</v>
      </c>
      <c r="D83" s="40" t="s">
        <v>44</v>
      </c>
      <c r="E83" s="31"/>
      <c r="F83" s="40" t="s">
        <v>55</v>
      </c>
      <c r="G83" s="40" t="s">
        <v>51</v>
      </c>
      <c r="H83" s="42"/>
      <c r="I83" s="42"/>
      <c r="J83" s="42"/>
    </row>
    <row r="84" ht="15.75" customHeight="1">
      <c r="A84" s="110">
        <v>46139.0</v>
      </c>
      <c r="B84" s="31" t="s">
        <v>41</v>
      </c>
      <c r="C84" s="31" t="s">
        <v>42</v>
      </c>
      <c r="D84" s="40" t="s">
        <v>44</v>
      </c>
      <c r="E84" s="31"/>
      <c r="F84" s="40" t="s">
        <v>55</v>
      </c>
      <c r="G84" s="40" t="s">
        <v>51</v>
      </c>
      <c r="H84" s="42"/>
      <c r="I84" s="42"/>
      <c r="J84" s="42"/>
    </row>
    <row r="85" ht="15.75" customHeight="1">
      <c r="A85" s="110">
        <v>46140.0</v>
      </c>
      <c r="B85" s="31" t="s">
        <v>14</v>
      </c>
      <c r="C85" s="31" t="s">
        <v>42</v>
      </c>
      <c r="D85" s="40" t="s">
        <v>53</v>
      </c>
      <c r="E85" s="31"/>
      <c r="F85" s="40">
        <v>175.0</v>
      </c>
      <c r="G85" s="40" t="s">
        <v>51</v>
      </c>
      <c r="H85" s="42"/>
      <c r="I85" s="42"/>
      <c r="J85" s="42"/>
    </row>
    <row r="86" ht="15.75" customHeight="1">
      <c r="A86" s="110">
        <v>46141.0</v>
      </c>
      <c r="B86" s="31" t="s">
        <v>18</v>
      </c>
      <c r="C86" s="31" t="s">
        <v>42</v>
      </c>
      <c r="D86" s="40" t="s">
        <v>44</v>
      </c>
      <c r="E86" s="31"/>
      <c r="F86" s="40">
        <v>125.0</v>
      </c>
      <c r="G86" s="40" t="s">
        <v>51</v>
      </c>
      <c r="H86" s="42"/>
      <c r="I86" s="42"/>
      <c r="J86" s="42"/>
    </row>
    <row r="87" ht="15.75" customHeight="1">
      <c r="A87" s="113">
        <v>46142.0</v>
      </c>
      <c r="B87" s="91" t="s">
        <v>40</v>
      </c>
      <c r="C87" s="91" t="s">
        <v>42</v>
      </c>
      <c r="D87" s="92" t="s">
        <v>53</v>
      </c>
      <c r="E87" s="91"/>
      <c r="F87" s="92">
        <v>125.0</v>
      </c>
      <c r="G87" s="92" t="s">
        <v>51</v>
      </c>
      <c r="H87" s="107"/>
      <c r="I87" s="107"/>
      <c r="J87" s="107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5.75" customHeight="1">
      <c r="A88" s="74">
        <v>46143.0</v>
      </c>
      <c r="B88" s="76" t="s">
        <v>10</v>
      </c>
      <c r="C88" s="76" t="s">
        <v>42</v>
      </c>
      <c r="D88" s="76"/>
      <c r="E88" s="76"/>
      <c r="F88" s="76"/>
      <c r="G88" s="76"/>
      <c r="H88" s="78" t="s">
        <v>92</v>
      </c>
      <c r="I88" s="76"/>
      <c r="J88" s="76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15.75" customHeight="1">
      <c r="A89" s="110">
        <v>46146.0</v>
      </c>
      <c r="B89" s="31" t="s">
        <v>41</v>
      </c>
      <c r="C89" s="31" t="s">
        <v>42</v>
      </c>
      <c r="D89" s="40" t="s">
        <v>53</v>
      </c>
      <c r="E89" s="40">
        <v>200.0</v>
      </c>
      <c r="F89" s="31"/>
      <c r="G89" s="40" t="s">
        <v>46</v>
      </c>
      <c r="H89" s="56" t="s">
        <v>47</v>
      </c>
      <c r="I89" s="42"/>
      <c r="J89" s="42"/>
    </row>
    <row r="90" ht="15.75" customHeight="1">
      <c r="A90" s="110">
        <v>46147.0</v>
      </c>
      <c r="B90" s="31" t="s">
        <v>14</v>
      </c>
      <c r="C90" s="31" t="s">
        <v>42</v>
      </c>
      <c r="D90" s="40" t="s">
        <v>44</v>
      </c>
      <c r="E90" s="31"/>
      <c r="F90" s="40" t="s">
        <v>55</v>
      </c>
      <c r="G90" s="40" t="s">
        <v>51</v>
      </c>
      <c r="H90" s="42"/>
      <c r="I90" s="42"/>
      <c r="J90" s="42"/>
    </row>
    <row r="91" ht="15.75" customHeight="1">
      <c r="A91" s="110">
        <v>46148.0</v>
      </c>
      <c r="B91" s="31" t="s">
        <v>18</v>
      </c>
      <c r="C91" s="31" t="s">
        <v>42</v>
      </c>
      <c r="D91" s="40" t="s">
        <v>44</v>
      </c>
      <c r="E91" s="31"/>
      <c r="F91" s="40" t="s">
        <v>55</v>
      </c>
      <c r="G91" s="40" t="s">
        <v>51</v>
      </c>
      <c r="H91" s="42"/>
      <c r="I91" s="42"/>
      <c r="J91" s="42"/>
    </row>
    <row r="92" ht="15.75" customHeight="1">
      <c r="A92" s="110">
        <v>46149.0</v>
      </c>
      <c r="B92" s="31" t="s">
        <v>40</v>
      </c>
      <c r="C92" s="31" t="s">
        <v>42</v>
      </c>
      <c r="D92" s="40" t="s">
        <v>44</v>
      </c>
      <c r="E92" s="31"/>
      <c r="F92" s="40" t="s">
        <v>55</v>
      </c>
      <c r="G92" s="40" t="s">
        <v>51</v>
      </c>
      <c r="H92" s="42"/>
      <c r="I92" s="42"/>
      <c r="J92" s="42"/>
    </row>
    <row r="93" ht="15.75" customHeight="1">
      <c r="A93" s="110">
        <v>46150.0</v>
      </c>
      <c r="B93" s="31" t="s">
        <v>10</v>
      </c>
      <c r="C93" s="31" t="s">
        <v>42</v>
      </c>
      <c r="D93" s="40" t="s">
        <v>53</v>
      </c>
      <c r="E93" s="40">
        <v>200.0</v>
      </c>
      <c r="F93" s="31"/>
      <c r="G93" s="40" t="s">
        <v>46</v>
      </c>
      <c r="H93" s="103" t="s">
        <v>90</v>
      </c>
      <c r="I93" s="42"/>
      <c r="J93" s="42"/>
    </row>
    <row r="94" ht="15.75" customHeight="1">
      <c r="A94" s="110">
        <v>46153.0</v>
      </c>
      <c r="B94" s="31" t="s">
        <v>41</v>
      </c>
      <c r="C94" s="31" t="s">
        <v>42</v>
      </c>
      <c r="D94" s="40" t="s">
        <v>53</v>
      </c>
      <c r="E94" s="31"/>
      <c r="F94" s="40">
        <v>125.0</v>
      </c>
      <c r="G94" s="40" t="s">
        <v>51</v>
      </c>
      <c r="H94" s="42"/>
      <c r="I94" s="42"/>
      <c r="J94" s="42"/>
    </row>
    <row r="95" ht="15.75" customHeight="1">
      <c r="A95" s="110">
        <v>46154.0</v>
      </c>
      <c r="B95" s="40" t="s">
        <v>91</v>
      </c>
      <c r="C95" s="31" t="s">
        <v>42</v>
      </c>
      <c r="D95" s="40" t="s">
        <v>53</v>
      </c>
      <c r="E95" s="31"/>
      <c r="F95" s="40" t="s">
        <v>55</v>
      </c>
      <c r="G95" s="40" t="s">
        <v>51</v>
      </c>
      <c r="H95" s="42"/>
      <c r="I95" s="42"/>
      <c r="J95" s="42"/>
    </row>
    <row r="96" ht="15.75" customHeight="1">
      <c r="A96" s="110">
        <v>46155.0</v>
      </c>
      <c r="B96" s="31" t="s">
        <v>18</v>
      </c>
      <c r="C96" s="31" t="s">
        <v>42</v>
      </c>
      <c r="D96" s="40" t="s">
        <v>44</v>
      </c>
      <c r="E96" s="40">
        <v>100.0</v>
      </c>
      <c r="F96" s="40" t="s">
        <v>55</v>
      </c>
      <c r="G96" s="40" t="s">
        <v>51</v>
      </c>
      <c r="H96" s="56" t="s">
        <v>47</v>
      </c>
      <c r="I96" s="42"/>
      <c r="J96" s="42"/>
    </row>
    <row r="97" ht="15.75" customHeight="1">
      <c r="A97" s="110">
        <v>46156.0</v>
      </c>
      <c r="B97" s="31" t="s">
        <v>40</v>
      </c>
      <c r="C97" s="31" t="s">
        <v>42</v>
      </c>
      <c r="D97" s="40" t="s">
        <v>44</v>
      </c>
      <c r="E97" s="31"/>
      <c r="F97" s="40">
        <v>100.0</v>
      </c>
      <c r="G97" s="40" t="s">
        <v>51</v>
      </c>
      <c r="H97" s="42"/>
      <c r="I97" s="42"/>
      <c r="J97" s="42"/>
    </row>
    <row r="98" ht="15.75" customHeight="1">
      <c r="A98" s="110">
        <v>46157.0</v>
      </c>
      <c r="B98" s="31" t="s">
        <v>10</v>
      </c>
      <c r="C98" s="31" t="s">
        <v>42</v>
      </c>
      <c r="D98" s="40" t="s">
        <v>44</v>
      </c>
      <c r="E98" s="31"/>
      <c r="F98" s="40" t="s">
        <v>55</v>
      </c>
      <c r="G98" s="40" t="s">
        <v>51</v>
      </c>
      <c r="H98" s="42"/>
      <c r="I98" s="42"/>
      <c r="J98" s="42"/>
    </row>
    <row r="99" ht="15.75" customHeight="1">
      <c r="A99" s="110">
        <v>46160.0</v>
      </c>
      <c r="B99" s="31" t="s">
        <v>41</v>
      </c>
      <c r="C99" s="31" t="s">
        <v>42</v>
      </c>
      <c r="D99" s="40" t="s">
        <v>44</v>
      </c>
      <c r="E99" s="31"/>
      <c r="F99" s="40">
        <v>175.0</v>
      </c>
      <c r="G99" s="40" t="s">
        <v>51</v>
      </c>
      <c r="H99" s="42"/>
      <c r="I99" s="42"/>
      <c r="J99" s="42"/>
    </row>
    <row r="100" ht="15.75" customHeight="1">
      <c r="A100" s="110">
        <v>46161.0</v>
      </c>
      <c r="B100" s="31" t="s">
        <v>14</v>
      </c>
      <c r="C100" s="31" t="s">
        <v>42</v>
      </c>
      <c r="D100" s="40" t="s">
        <v>53</v>
      </c>
      <c r="E100" s="31"/>
      <c r="F100" s="40" t="s">
        <v>55</v>
      </c>
      <c r="G100" s="40" t="s">
        <v>51</v>
      </c>
      <c r="H100" s="42"/>
      <c r="I100" s="42"/>
      <c r="J100" s="42"/>
    </row>
    <row r="101" ht="15.75" customHeight="1">
      <c r="A101" s="110">
        <v>46162.0</v>
      </c>
      <c r="B101" s="31" t="s">
        <v>18</v>
      </c>
      <c r="C101" s="31" t="s">
        <v>42</v>
      </c>
      <c r="D101" s="40" t="s">
        <v>53</v>
      </c>
      <c r="E101" s="40">
        <v>200.0</v>
      </c>
      <c r="F101" s="31"/>
      <c r="G101" s="40" t="s">
        <v>46</v>
      </c>
      <c r="H101" s="56" t="s">
        <v>47</v>
      </c>
      <c r="I101" s="42"/>
      <c r="J101" s="42"/>
    </row>
    <row r="102" ht="15.75" customHeight="1">
      <c r="A102" s="110">
        <v>46163.0</v>
      </c>
      <c r="B102" s="31" t="s">
        <v>40</v>
      </c>
      <c r="C102" s="31" t="s">
        <v>42</v>
      </c>
      <c r="D102" s="40" t="s">
        <v>44</v>
      </c>
      <c r="E102" s="40">
        <v>150.0</v>
      </c>
      <c r="F102" s="40">
        <v>175.0</v>
      </c>
      <c r="G102" s="40" t="s">
        <v>51</v>
      </c>
      <c r="H102" s="56" t="s">
        <v>47</v>
      </c>
      <c r="I102" s="42"/>
      <c r="J102" s="42"/>
    </row>
    <row r="103" ht="15.75" customHeight="1">
      <c r="A103" s="110">
        <v>46164.0</v>
      </c>
      <c r="B103" s="31" t="s">
        <v>10</v>
      </c>
      <c r="C103" s="31" t="s">
        <v>42</v>
      </c>
      <c r="D103" s="40" t="s">
        <v>44</v>
      </c>
      <c r="E103" s="31"/>
      <c r="F103" s="40" t="s">
        <v>55</v>
      </c>
      <c r="G103" s="40" t="s">
        <v>51</v>
      </c>
      <c r="H103" s="42"/>
      <c r="I103" s="42"/>
      <c r="J103" s="42"/>
    </row>
    <row r="104" ht="15.75" customHeight="1">
      <c r="A104" s="110">
        <v>46167.0</v>
      </c>
      <c r="B104" s="31" t="s">
        <v>41</v>
      </c>
      <c r="C104" s="31" t="s">
        <v>42</v>
      </c>
      <c r="D104" s="40" t="s">
        <v>53</v>
      </c>
      <c r="E104" s="40">
        <v>150.0</v>
      </c>
      <c r="F104" s="40">
        <v>150.0</v>
      </c>
      <c r="G104" s="40" t="s">
        <v>51</v>
      </c>
      <c r="H104" s="56" t="s">
        <v>47</v>
      </c>
      <c r="I104" s="42"/>
      <c r="J104" s="42"/>
    </row>
    <row r="105" ht="15.75" customHeight="1">
      <c r="A105" s="74">
        <v>46168.0</v>
      </c>
      <c r="B105" s="76" t="s">
        <v>14</v>
      </c>
      <c r="C105" s="76" t="s">
        <v>42</v>
      </c>
      <c r="D105" s="76"/>
      <c r="E105" s="76"/>
      <c r="F105" s="76"/>
      <c r="G105" s="76"/>
      <c r="H105" s="78" t="s">
        <v>69</v>
      </c>
      <c r="I105" s="78" t="s">
        <v>103</v>
      </c>
      <c r="J105" s="76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5.75" customHeight="1">
      <c r="A106" s="110">
        <v>46169.0</v>
      </c>
      <c r="B106" s="31" t="s">
        <v>18</v>
      </c>
      <c r="C106" s="31" t="s">
        <v>42</v>
      </c>
      <c r="D106" s="40" t="s">
        <v>53</v>
      </c>
      <c r="E106" s="31"/>
      <c r="F106" s="40" t="s">
        <v>55</v>
      </c>
      <c r="G106" s="40" t="s">
        <v>51</v>
      </c>
      <c r="H106" s="42"/>
      <c r="I106" s="42"/>
      <c r="J106" s="42"/>
    </row>
    <row r="107" ht="15.75" customHeight="1">
      <c r="A107" s="110">
        <v>46170.0</v>
      </c>
      <c r="B107" s="31" t="s">
        <v>40</v>
      </c>
      <c r="C107" s="31" t="s">
        <v>42</v>
      </c>
      <c r="D107" s="40" t="s">
        <v>44</v>
      </c>
      <c r="E107" s="31"/>
      <c r="F107" s="40">
        <v>175.0</v>
      </c>
      <c r="G107" s="40" t="s">
        <v>51</v>
      </c>
      <c r="H107" s="42"/>
      <c r="I107" s="42"/>
      <c r="J107" s="42"/>
    </row>
    <row r="108" ht="15.75" customHeight="1">
      <c r="A108" s="113">
        <v>46171.0</v>
      </c>
      <c r="B108" s="91" t="s">
        <v>10</v>
      </c>
      <c r="C108" s="91" t="s">
        <v>42</v>
      </c>
      <c r="D108" s="92" t="s">
        <v>44</v>
      </c>
      <c r="E108" s="91"/>
      <c r="F108" s="92">
        <v>150.0</v>
      </c>
      <c r="G108" s="92" t="s">
        <v>51</v>
      </c>
      <c r="H108" s="107"/>
      <c r="I108" s="107"/>
      <c r="J108" s="107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5.75" customHeight="1">
      <c r="A109" s="110">
        <v>46174.0</v>
      </c>
      <c r="B109" s="31" t="s">
        <v>41</v>
      </c>
      <c r="C109" s="31" t="s">
        <v>42</v>
      </c>
      <c r="D109" s="40" t="s">
        <v>44</v>
      </c>
      <c r="E109" s="31"/>
      <c r="F109" s="40" t="s">
        <v>55</v>
      </c>
      <c r="G109" s="40" t="s">
        <v>51</v>
      </c>
      <c r="H109" s="42"/>
      <c r="I109" s="42"/>
      <c r="J109" s="42"/>
    </row>
    <row r="110" ht="15.75" customHeight="1">
      <c r="A110" s="110">
        <v>46175.0</v>
      </c>
      <c r="B110" s="31" t="s">
        <v>14</v>
      </c>
      <c r="C110" s="31" t="s">
        <v>42</v>
      </c>
      <c r="D110" s="40" t="s">
        <v>44</v>
      </c>
      <c r="E110" s="31"/>
      <c r="F110" s="40">
        <v>100.0</v>
      </c>
      <c r="G110" s="40" t="s">
        <v>51</v>
      </c>
      <c r="H110" s="42"/>
      <c r="I110" s="42"/>
      <c r="J110" s="42"/>
    </row>
    <row r="111" ht="15.75" customHeight="1">
      <c r="A111" s="110">
        <v>46176.0</v>
      </c>
      <c r="B111" s="31" t="s">
        <v>18</v>
      </c>
      <c r="C111" s="31" t="s">
        <v>42</v>
      </c>
      <c r="D111" s="40" t="s">
        <v>53</v>
      </c>
      <c r="E111" s="31"/>
      <c r="F111" s="40">
        <v>100.0</v>
      </c>
      <c r="G111" s="40" t="s">
        <v>51</v>
      </c>
      <c r="H111" s="42"/>
      <c r="I111" s="42"/>
      <c r="J111" s="42"/>
    </row>
    <row r="112" ht="15.75" customHeight="1">
      <c r="A112" s="74">
        <v>46177.0</v>
      </c>
      <c r="B112" s="76" t="s">
        <v>40</v>
      </c>
      <c r="C112" s="76" t="s">
        <v>42</v>
      </c>
      <c r="D112" s="76"/>
      <c r="E112" s="76"/>
      <c r="F112" s="76"/>
      <c r="G112" s="76"/>
      <c r="H112" s="76"/>
      <c r="I112" s="76"/>
      <c r="J112" s="76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5.75" customHeight="1">
      <c r="A113" s="110">
        <v>46178.0</v>
      </c>
      <c r="B113" s="31" t="s">
        <v>10</v>
      </c>
      <c r="C113" s="31" t="s">
        <v>42</v>
      </c>
      <c r="D113" s="40" t="s">
        <v>44</v>
      </c>
      <c r="E113" s="40">
        <v>200.0</v>
      </c>
      <c r="F113" s="31"/>
      <c r="G113" s="40" t="s">
        <v>46</v>
      </c>
      <c r="H113" s="103" t="s">
        <v>90</v>
      </c>
      <c r="I113" s="42"/>
      <c r="J113" s="42"/>
    </row>
    <row r="114" ht="15.75" customHeight="1">
      <c r="A114" s="110">
        <v>46181.0</v>
      </c>
      <c r="B114" s="31" t="s">
        <v>41</v>
      </c>
      <c r="C114" s="31" t="s">
        <v>42</v>
      </c>
      <c r="D114" s="40" t="s">
        <v>53</v>
      </c>
      <c r="E114" s="31"/>
      <c r="F114" s="40" t="s">
        <v>55</v>
      </c>
      <c r="G114" s="40" t="s">
        <v>51</v>
      </c>
      <c r="H114" s="42"/>
      <c r="I114" s="42"/>
      <c r="J114" s="42"/>
    </row>
    <row r="115" ht="15.75" customHeight="1">
      <c r="A115" s="110">
        <v>46182.0</v>
      </c>
      <c r="B115" s="31" t="s">
        <v>14</v>
      </c>
      <c r="C115" s="31" t="s">
        <v>42</v>
      </c>
      <c r="D115" s="40" t="s">
        <v>53</v>
      </c>
      <c r="E115" s="40">
        <v>125.0</v>
      </c>
      <c r="F115" s="40" t="s">
        <v>55</v>
      </c>
      <c r="G115" s="40" t="s">
        <v>51</v>
      </c>
      <c r="H115" s="56" t="s">
        <v>47</v>
      </c>
      <c r="I115" s="42"/>
      <c r="J115" s="42"/>
    </row>
    <row r="116" ht="15.75" customHeight="1">
      <c r="A116" s="110">
        <v>46183.0</v>
      </c>
      <c r="B116" s="31" t="s">
        <v>18</v>
      </c>
      <c r="C116" s="31" t="s">
        <v>42</v>
      </c>
      <c r="D116" s="40" t="s">
        <v>53</v>
      </c>
      <c r="E116" s="31"/>
      <c r="F116" s="40">
        <v>175.0</v>
      </c>
      <c r="G116" s="40" t="s">
        <v>51</v>
      </c>
      <c r="H116" s="42"/>
      <c r="I116" s="42"/>
      <c r="J116" s="42"/>
    </row>
    <row r="117" ht="15.75" customHeight="1">
      <c r="A117" s="110">
        <v>46184.0</v>
      </c>
      <c r="B117" s="31" t="s">
        <v>40</v>
      </c>
      <c r="C117" s="31" t="s">
        <v>42</v>
      </c>
      <c r="D117" s="40" t="s">
        <v>53</v>
      </c>
      <c r="E117" s="40">
        <v>200.0</v>
      </c>
      <c r="F117" s="31"/>
      <c r="G117" s="40" t="s">
        <v>46</v>
      </c>
      <c r="H117" s="103" t="s">
        <v>90</v>
      </c>
      <c r="I117" s="42"/>
      <c r="J117" s="42"/>
    </row>
    <row r="118" ht="15.75" customHeight="1">
      <c r="A118" s="110">
        <v>46185.0</v>
      </c>
      <c r="B118" s="40" t="s">
        <v>60</v>
      </c>
      <c r="C118" s="31" t="s">
        <v>42</v>
      </c>
      <c r="D118" s="40" t="s">
        <v>53</v>
      </c>
      <c r="E118" s="31"/>
      <c r="F118" s="40">
        <v>125.0</v>
      </c>
      <c r="G118" s="40" t="s">
        <v>51</v>
      </c>
      <c r="H118" s="42"/>
      <c r="I118" s="42"/>
      <c r="J118" s="42"/>
    </row>
    <row r="119" ht="15.75" customHeight="1">
      <c r="A119" s="110">
        <v>46188.0</v>
      </c>
      <c r="B119" s="31" t="s">
        <v>41</v>
      </c>
      <c r="C119" s="31" t="s">
        <v>42</v>
      </c>
      <c r="D119" s="40" t="s">
        <v>53</v>
      </c>
      <c r="E119" s="40">
        <v>200.0</v>
      </c>
      <c r="F119" s="31"/>
      <c r="G119" s="40" t="s">
        <v>46</v>
      </c>
      <c r="H119" s="95" t="s">
        <v>86</v>
      </c>
      <c r="I119" s="42"/>
      <c r="J119" s="42"/>
    </row>
    <row r="120" ht="15.75" customHeight="1">
      <c r="A120" s="110">
        <v>46189.0</v>
      </c>
      <c r="B120" s="31" t="s">
        <v>14</v>
      </c>
      <c r="C120" s="31" t="s">
        <v>42</v>
      </c>
      <c r="D120" s="40" t="s">
        <v>53</v>
      </c>
      <c r="E120" s="40">
        <v>200.0</v>
      </c>
      <c r="F120" s="31"/>
      <c r="G120" s="40" t="s">
        <v>46</v>
      </c>
      <c r="H120" s="56" t="s">
        <v>47</v>
      </c>
      <c r="I120" s="42"/>
      <c r="J120" s="42"/>
    </row>
    <row r="121" ht="15.75" customHeight="1">
      <c r="A121" s="110">
        <v>46190.0</v>
      </c>
      <c r="B121" s="31" t="s">
        <v>18</v>
      </c>
      <c r="C121" s="31" t="s">
        <v>42</v>
      </c>
      <c r="D121" s="40" t="s">
        <v>53</v>
      </c>
      <c r="E121" s="31"/>
      <c r="F121" s="40" t="s">
        <v>55</v>
      </c>
      <c r="G121" s="40" t="s">
        <v>51</v>
      </c>
      <c r="H121" s="42"/>
      <c r="I121" s="42"/>
      <c r="J121" s="42"/>
    </row>
    <row r="122" ht="15.75" customHeight="1">
      <c r="A122" s="110">
        <v>46191.0</v>
      </c>
      <c r="B122" s="31" t="s">
        <v>40</v>
      </c>
      <c r="C122" s="31" t="s">
        <v>42</v>
      </c>
      <c r="D122" s="40" t="s">
        <v>53</v>
      </c>
      <c r="E122" s="31"/>
      <c r="F122" s="40" t="s">
        <v>55</v>
      </c>
      <c r="G122" s="40" t="s">
        <v>51</v>
      </c>
      <c r="H122" s="42"/>
      <c r="I122" s="42"/>
      <c r="J122" s="42"/>
    </row>
    <row r="123" ht="15.75" customHeight="1">
      <c r="A123" s="110">
        <v>46192.0</v>
      </c>
      <c r="B123" s="31" t="s">
        <v>10</v>
      </c>
      <c r="C123" s="31" t="s">
        <v>42</v>
      </c>
      <c r="D123" s="40" t="s">
        <v>44</v>
      </c>
      <c r="E123" s="31"/>
      <c r="F123" s="40">
        <v>150.0</v>
      </c>
      <c r="G123" s="40" t="s">
        <v>51</v>
      </c>
      <c r="H123" s="42"/>
      <c r="I123" s="42"/>
      <c r="J123" s="42"/>
    </row>
    <row r="124" ht="15.75" customHeight="1">
      <c r="A124" s="110">
        <v>46195.0</v>
      </c>
      <c r="B124" s="31" t="s">
        <v>41</v>
      </c>
      <c r="C124" s="31" t="s">
        <v>42</v>
      </c>
      <c r="D124" s="40" t="s">
        <v>44</v>
      </c>
      <c r="E124" s="31"/>
      <c r="F124" s="40" t="s">
        <v>55</v>
      </c>
      <c r="G124" s="40" t="s">
        <v>51</v>
      </c>
      <c r="H124" s="42"/>
      <c r="I124" s="42"/>
      <c r="J124" s="42"/>
    </row>
    <row r="125" ht="15.75" customHeight="1">
      <c r="A125" s="110">
        <v>46196.0</v>
      </c>
      <c r="B125" s="31" t="s">
        <v>14</v>
      </c>
      <c r="C125" s="31" t="s">
        <v>42</v>
      </c>
      <c r="D125" s="40" t="s">
        <v>53</v>
      </c>
      <c r="E125" s="31"/>
      <c r="F125" s="40" t="s">
        <v>55</v>
      </c>
      <c r="G125" s="40" t="s">
        <v>51</v>
      </c>
      <c r="H125" s="42"/>
      <c r="I125" s="42"/>
      <c r="J125" s="42"/>
    </row>
    <row r="126" ht="15.75" customHeight="1">
      <c r="A126" s="110">
        <v>46197.0</v>
      </c>
      <c r="B126" s="31" t="s">
        <v>18</v>
      </c>
      <c r="C126" s="31" t="s">
        <v>42</v>
      </c>
      <c r="D126" s="40" t="s">
        <v>53</v>
      </c>
      <c r="E126" s="40">
        <v>200.0</v>
      </c>
      <c r="F126" s="31"/>
      <c r="G126" s="40" t="s">
        <v>46</v>
      </c>
      <c r="H126" s="95" t="s">
        <v>86</v>
      </c>
      <c r="I126" s="42"/>
      <c r="J126" s="42"/>
    </row>
    <row r="127" ht="15.75" customHeight="1">
      <c r="A127" s="110">
        <v>46198.0</v>
      </c>
      <c r="B127" s="31" t="s">
        <v>40</v>
      </c>
      <c r="C127" s="31" t="s">
        <v>42</v>
      </c>
      <c r="D127" s="40" t="s">
        <v>44</v>
      </c>
      <c r="E127" s="31"/>
      <c r="F127" s="40">
        <v>125.0</v>
      </c>
      <c r="G127" s="40" t="s">
        <v>51</v>
      </c>
      <c r="H127" s="42"/>
      <c r="I127" s="42"/>
      <c r="J127" s="42"/>
    </row>
    <row r="128" ht="15.75" customHeight="1">
      <c r="A128" s="110">
        <v>46199.0</v>
      </c>
      <c r="B128" s="31" t="s">
        <v>10</v>
      </c>
      <c r="C128" s="31" t="s">
        <v>42</v>
      </c>
      <c r="D128" s="40" t="s">
        <v>53</v>
      </c>
      <c r="E128" s="31"/>
      <c r="F128" s="40">
        <v>150.0</v>
      </c>
      <c r="G128" s="40" t="s">
        <v>51</v>
      </c>
      <c r="H128" s="42"/>
      <c r="I128" s="42"/>
      <c r="J128" s="42"/>
    </row>
    <row r="129" ht="15.75" customHeight="1">
      <c r="A129" s="110">
        <v>46202.0</v>
      </c>
      <c r="B129" s="31" t="s">
        <v>41</v>
      </c>
      <c r="C129" s="31" t="s">
        <v>42</v>
      </c>
      <c r="D129" s="40" t="s">
        <v>44</v>
      </c>
      <c r="E129" s="31"/>
      <c r="F129" s="40" t="s">
        <v>55</v>
      </c>
      <c r="G129" s="40" t="s">
        <v>51</v>
      </c>
      <c r="H129" s="42"/>
      <c r="I129" s="42"/>
      <c r="J129" s="42"/>
    </row>
    <row r="130" ht="15.75" customHeight="1">
      <c r="A130" s="113">
        <v>46203.0</v>
      </c>
      <c r="B130" s="91" t="s">
        <v>14</v>
      </c>
      <c r="C130" s="91" t="s">
        <v>42</v>
      </c>
      <c r="D130" s="92" t="s">
        <v>44</v>
      </c>
      <c r="E130" s="91"/>
      <c r="F130" s="92">
        <v>100.0</v>
      </c>
      <c r="G130" s="92" t="s">
        <v>51</v>
      </c>
      <c r="H130" s="107"/>
      <c r="I130" s="107"/>
      <c r="J130" s="107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5.75" customHeight="1">
      <c r="A131" s="110">
        <v>46204.0</v>
      </c>
      <c r="B131" s="31" t="s">
        <v>18</v>
      </c>
      <c r="C131" s="31" t="s">
        <v>42</v>
      </c>
      <c r="D131" s="40" t="s">
        <v>53</v>
      </c>
      <c r="E131" s="31"/>
      <c r="F131" s="40">
        <v>100.0</v>
      </c>
      <c r="G131" s="40" t="s">
        <v>51</v>
      </c>
      <c r="H131" s="42"/>
      <c r="I131" s="42"/>
      <c r="J131" s="42"/>
    </row>
    <row r="132" ht="15.75" customHeight="1">
      <c r="A132" s="110">
        <v>46205.0</v>
      </c>
      <c r="B132" s="31" t="s">
        <v>40</v>
      </c>
      <c r="C132" s="31" t="s">
        <v>42</v>
      </c>
      <c r="D132" s="40" t="s">
        <v>53</v>
      </c>
      <c r="E132" s="31"/>
      <c r="F132" s="40">
        <v>150.0</v>
      </c>
      <c r="G132" s="40" t="s">
        <v>51</v>
      </c>
      <c r="H132" s="42"/>
      <c r="I132" s="42"/>
      <c r="J132" s="42"/>
    </row>
    <row r="133" ht="15.75" customHeight="1">
      <c r="A133" s="74">
        <v>46206.0</v>
      </c>
      <c r="B133" s="76" t="s">
        <v>10</v>
      </c>
      <c r="C133" s="76" t="s">
        <v>42</v>
      </c>
      <c r="D133" s="76"/>
      <c r="E133" s="76"/>
      <c r="F133" s="76"/>
      <c r="G133" s="76"/>
      <c r="H133" s="78" t="s">
        <v>69</v>
      </c>
      <c r="I133" s="78" t="s">
        <v>103</v>
      </c>
      <c r="J133" s="76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5.75" customHeight="1">
      <c r="A134" s="110">
        <v>46209.0</v>
      </c>
      <c r="B134" s="31" t="s">
        <v>41</v>
      </c>
      <c r="C134" s="31" t="s">
        <v>42</v>
      </c>
      <c r="D134" s="40" t="s">
        <v>53</v>
      </c>
      <c r="E134" s="31"/>
      <c r="F134" s="40">
        <v>150.0</v>
      </c>
      <c r="G134" s="40" t="s">
        <v>51</v>
      </c>
      <c r="H134" s="42"/>
      <c r="I134" s="42"/>
      <c r="J134" s="42"/>
    </row>
    <row r="135" ht="15.75" customHeight="1">
      <c r="A135" s="110">
        <v>46210.0</v>
      </c>
      <c r="B135" s="31" t="s">
        <v>14</v>
      </c>
      <c r="C135" s="31" t="s">
        <v>42</v>
      </c>
      <c r="D135" s="40" t="s">
        <v>53</v>
      </c>
      <c r="E135" s="31"/>
      <c r="F135" s="40" t="s">
        <v>55</v>
      </c>
      <c r="G135" s="40" t="s">
        <v>51</v>
      </c>
      <c r="H135" s="42"/>
      <c r="I135" s="42"/>
      <c r="J135" s="42"/>
    </row>
    <row r="136" ht="15.75" customHeight="1">
      <c r="A136" s="110">
        <v>46211.0</v>
      </c>
      <c r="B136" s="31" t="s">
        <v>18</v>
      </c>
      <c r="C136" s="31" t="s">
        <v>42</v>
      </c>
      <c r="D136" s="40" t="s">
        <v>53</v>
      </c>
      <c r="E136" s="40">
        <v>175.0</v>
      </c>
      <c r="F136" s="40">
        <v>175.0</v>
      </c>
      <c r="G136" s="40" t="s">
        <v>46</v>
      </c>
      <c r="H136" s="56" t="s">
        <v>47</v>
      </c>
      <c r="I136" s="42"/>
      <c r="J136" s="42"/>
    </row>
    <row r="137" ht="15.75" customHeight="1">
      <c r="A137" s="110">
        <v>46212.0</v>
      </c>
      <c r="B137" s="31" t="s">
        <v>40</v>
      </c>
      <c r="C137" s="31" t="s">
        <v>42</v>
      </c>
      <c r="D137" s="40" t="s">
        <v>44</v>
      </c>
      <c r="E137" s="31"/>
      <c r="F137" s="40" t="s">
        <v>55</v>
      </c>
      <c r="G137" s="40" t="s">
        <v>51</v>
      </c>
      <c r="H137" s="42"/>
      <c r="I137" s="42"/>
      <c r="J137" s="42"/>
    </row>
    <row r="138" ht="15.75" customHeight="1">
      <c r="A138" s="74">
        <v>46213.0</v>
      </c>
      <c r="B138" s="78" t="s">
        <v>60</v>
      </c>
      <c r="C138" s="76" t="s">
        <v>42</v>
      </c>
      <c r="D138" s="76"/>
      <c r="E138" s="76"/>
      <c r="F138" s="76"/>
      <c r="G138" s="76"/>
      <c r="H138" s="78" t="s">
        <v>69</v>
      </c>
      <c r="I138" s="78" t="s">
        <v>104</v>
      </c>
      <c r="J138" s="76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5.75" customHeight="1">
      <c r="A139" s="116">
        <v>46216.0</v>
      </c>
      <c r="B139" s="97" t="s">
        <v>41</v>
      </c>
      <c r="C139" s="97" t="s">
        <v>42</v>
      </c>
      <c r="D139" s="96" t="s">
        <v>53</v>
      </c>
      <c r="E139" s="40">
        <v>200.0</v>
      </c>
      <c r="F139" s="31"/>
      <c r="G139" s="40" t="s">
        <v>46</v>
      </c>
      <c r="H139" s="103" t="s">
        <v>90</v>
      </c>
      <c r="I139" s="96"/>
      <c r="J139" s="97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>
      <c r="A140" s="110">
        <v>46217.0</v>
      </c>
      <c r="B140" s="31" t="s">
        <v>14</v>
      </c>
      <c r="C140" s="31" t="s">
        <v>42</v>
      </c>
      <c r="D140" s="40" t="s">
        <v>53</v>
      </c>
      <c r="F140" s="40" t="s">
        <v>55</v>
      </c>
      <c r="G140" s="40" t="s">
        <v>51</v>
      </c>
      <c r="H140" s="42"/>
      <c r="I140" s="42"/>
      <c r="J140" s="42"/>
    </row>
    <row r="141" ht="15.75" customHeight="1">
      <c r="A141" s="110">
        <v>46218.0</v>
      </c>
      <c r="B141" s="31" t="s">
        <v>18</v>
      </c>
      <c r="C141" s="31" t="s">
        <v>42</v>
      </c>
      <c r="D141" s="40" t="s">
        <v>53</v>
      </c>
      <c r="E141" s="40">
        <v>200.0</v>
      </c>
      <c r="G141" s="40" t="s">
        <v>46</v>
      </c>
      <c r="H141" s="95" t="s">
        <v>86</v>
      </c>
      <c r="I141" s="42"/>
      <c r="J141" s="42"/>
    </row>
    <row r="142" ht="15.75" customHeight="1">
      <c r="A142" s="110">
        <v>46219.0</v>
      </c>
      <c r="B142" s="31" t="s">
        <v>40</v>
      </c>
      <c r="C142" s="31" t="s">
        <v>42</v>
      </c>
      <c r="D142" s="40" t="s">
        <v>44</v>
      </c>
      <c r="E142" s="31"/>
      <c r="F142" s="40" t="s">
        <v>55</v>
      </c>
      <c r="G142" s="40" t="s">
        <v>51</v>
      </c>
      <c r="H142" s="42"/>
      <c r="I142" s="42"/>
      <c r="J142" s="42"/>
    </row>
    <row r="143" ht="15.75" customHeight="1">
      <c r="A143" s="110">
        <v>46220.0</v>
      </c>
      <c r="B143" s="31" t="s">
        <v>10</v>
      </c>
      <c r="C143" s="31" t="s">
        <v>42</v>
      </c>
      <c r="D143" s="40" t="s">
        <v>53</v>
      </c>
      <c r="E143" s="31"/>
      <c r="F143" s="40" t="s">
        <v>55</v>
      </c>
      <c r="G143" s="40" t="s">
        <v>51</v>
      </c>
      <c r="H143" s="42"/>
      <c r="I143" s="42"/>
      <c r="J143" s="42"/>
    </row>
    <row r="144" ht="15.75" customHeight="1">
      <c r="A144" s="110">
        <v>46223.0</v>
      </c>
      <c r="B144" s="31" t="s">
        <v>41</v>
      </c>
      <c r="C144" s="31" t="s">
        <v>42</v>
      </c>
      <c r="D144" s="40" t="s">
        <v>44</v>
      </c>
      <c r="E144" s="31"/>
      <c r="F144" s="40">
        <v>175.0</v>
      </c>
      <c r="G144" s="40" t="s">
        <v>51</v>
      </c>
      <c r="H144" s="42"/>
      <c r="I144" s="42"/>
      <c r="J144" s="42"/>
    </row>
    <row r="145" ht="15.75" customHeight="1">
      <c r="A145" s="110">
        <v>46224.0</v>
      </c>
      <c r="B145" s="31" t="s">
        <v>14</v>
      </c>
      <c r="C145" s="31" t="s">
        <v>42</v>
      </c>
      <c r="D145" s="40" t="s">
        <v>53</v>
      </c>
      <c r="E145" s="31"/>
      <c r="F145" s="40" t="s">
        <v>55</v>
      </c>
      <c r="G145" s="40" t="s">
        <v>51</v>
      </c>
      <c r="H145" s="42"/>
      <c r="I145" s="42"/>
      <c r="J145" s="42"/>
    </row>
    <row r="146" ht="15.75" customHeight="1">
      <c r="A146" s="110">
        <v>46225.0</v>
      </c>
      <c r="B146" s="31" t="s">
        <v>18</v>
      </c>
      <c r="C146" s="31" t="s">
        <v>42</v>
      </c>
      <c r="D146" s="40" t="s">
        <v>53</v>
      </c>
      <c r="E146" s="31"/>
      <c r="F146" s="40" t="s">
        <v>55</v>
      </c>
      <c r="G146" s="40" t="s">
        <v>51</v>
      </c>
      <c r="H146" s="42"/>
      <c r="I146" s="42"/>
      <c r="J146" s="42"/>
    </row>
    <row r="147" ht="15.75" customHeight="1">
      <c r="A147" s="110">
        <v>46226.0</v>
      </c>
      <c r="B147" s="31" t="s">
        <v>40</v>
      </c>
      <c r="C147" s="31" t="s">
        <v>42</v>
      </c>
      <c r="D147" s="40" t="s">
        <v>53</v>
      </c>
      <c r="E147" s="31"/>
      <c r="F147" s="40" t="s">
        <v>55</v>
      </c>
      <c r="G147" s="40" t="s">
        <v>51</v>
      </c>
      <c r="H147" s="42"/>
      <c r="I147" s="42"/>
      <c r="J147" s="42"/>
    </row>
    <row r="148" ht="15.75" customHeight="1">
      <c r="A148" s="110">
        <v>46227.0</v>
      </c>
      <c r="B148" s="31" t="s">
        <v>10</v>
      </c>
      <c r="C148" s="31" t="s">
        <v>42</v>
      </c>
      <c r="D148" s="40" t="s">
        <v>53</v>
      </c>
      <c r="E148" s="40">
        <v>200.0</v>
      </c>
      <c r="F148" s="40"/>
      <c r="G148" s="40" t="s">
        <v>46</v>
      </c>
      <c r="H148" s="95" t="s">
        <v>86</v>
      </c>
      <c r="I148" s="42"/>
      <c r="J148" s="42"/>
    </row>
    <row r="149" ht="15.75" customHeight="1">
      <c r="A149" s="110">
        <v>46230.0</v>
      </c>
      <c r="B149" s="31" t="s">
        <v>41</v>
      </c>
      <c r="C149" s="31" t="s">
        <v>42</v>
      </c>
      <c r="D149" s="40" t="s">
        <v>53</v>
      </c>
      <c r="E149" s="40">
        <v>200.0</v>
      </c>
      <c r="F149" s="31"/>
      <c r="G149" s="40" t="s">
        <v>46</v>
      </c>
      <c r="H149" s="103" t="s">
        <v>90</v>
      </c>
      <c r="I149" s="42"/>
      <c r="J149" s="42"/>
    </row>
    <row r="150" ht="15.75" customHeight="1">
      <c r="A150" s="110">
        <v>46231.0</v>
      </c>
      <c r="B150" s="31" t="s">
        <v>14</v>
      </c>
      <c r="C150" s="31" t="s">
        <v>42</v>
      </c>
      <c r="D150" s="40" t="s">
        <v>44</v>
      </c>
      <c r="E150" s="40">
        <v>200.0</v>
      </c>
      <c r="F150" s="31"/>
      <c r="G150" s="40" t="s">
        <v>46</v>
      </c>
      <c r="H150" s="56" t="s">
        <v>47</v>
      </c>
      <c r="I150" s="42"/>
      <c r="J150" s="42"/>
    </row>
    <row r="151" ht="15.75" customHeight="1">
      <c r="A151" s="110">
        <v>46232.0</v>
      </c>
      <c r="B151" s="31" t="s">
        <v>18</v>
      </c>
      <c r="C151" s="31" t="s">
        <v>42</v>
      </c>
      <c r="D151" s="40" t="s">
        <v>53</v>
      </c>
      <c r="E151" s="31"/>
      <c r="F151" s="40">
        <v>125.0</v>
      </c>
      <c r="G151" s="40" t="s">
        <v>51</v>
      </c>
      <c r="H151" s="42"/>
      <c r="I151" s="42"/>
      <c r="J151" s="42"/>
    </row>
    <row r="152" ht="15.75" customHeight="1">
      <c r="A152" s="110">
        <v>46233.0</v>
      </c>
      <c r="B152" s="31" t="s">
        <v>40</v>
      </c>
      <c r="C152" s="31" t="s">
        <v>42</v>
      </c>
      <c r="D152" s="40" t="s">
        <v>44</v>
      </c>
      <c r="E152" s="40">
        <v>200.0</v>
      </c>
      <c r="F152" s="31"/>
      <c r="G152" s="40" t="s">
        <v>46</v>
      </c>
      <c r="H152" s="56" t="s">
        <v>47</v>
      </c>
      <c r="I152" s="42"/>
      <c r="J152" s="42"/>
    </row>
    <row r="153" ht="15.75" customHeight="1">
      <c r="A153" s="117">
        <v>46234.0</v>
      </c>
      <c r="B153" s="118" t="s">
        <v>10</v>
      </c>
      <c r="C153" s="118" t="s">
        <v>42</v>
      </c>
      <c r="D153" s="118"/>
      <c r="E153" s="118"/>
      <c r="F153" s="118"/>
      <c r="G153" s="118"/>
      <c r="H153" s="119" t="s">
        <v>105</v>
      </c>
      <c r="I153" s="118"/>
      <c r="J153" s="118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10">
        <v>46237.0</v>
      </c>
      <c r="B154" s="31" t="s">
        <v>41</v>
      </c>
      <c r="C154" s="31" t="s">
        <v>42</v>
      </c>
      <c r="D154" s="40" t="s">
        <v>53</v>
      </c>
      <c r="E154" s="40">
        <v>200.0</v>
      </c>
      <c r="F154" s="31"/>
      <c r="G154" s="40" t="s">
        <v>46</v>
      </c>
      <c r="H154" s="95" t="s">
        <v>86</v>
      </c>
      <c r="I154" s="42"/>
      <c r="J154" s="42"/>
    </row>
    <row r="155" ht="15.75" customHeight="1">
      <c r="A155" s="110">
        <v>46238.0</v>
      </c>
      <c r="B155" s="31" t="s">
        <v>14</v>
      </c>
      <c r="C155" s="31" t="s">
        <v>42</v>
      </c>
      <c r="D155" s="40" t="s">
        <v>44</v>
      </c>
      <c r="E155" s="31"/>
      <c r="F155" s="40" t="s">
        <v>55</v>
      </c>
      <c r="G155" s="40" t="s">
        <v>51</v>
      </c>
      <c r="H155" s="42"/>
      <c r="I155" s="42"/>
      <c r="J155" s="42"/>
    </row>
    <row r="156" ht="15.75" customHeight="1">
      <c r="A156" s="110">
        <v>46239.0</v>
      </c>
      <c r="B156" s="31" t="s">
        <v>18</v>
      </c>
      <c r="C156" s="31" t="s">
        <v>42</v>
      </c>
      <c r="D156" s="40" t="s">
        <v>44</v>
      </c>
      <c r="E156" s="31"/>
      <c r="F156" s="40">
        <v>100.0</v>
      </c>
      <c r="G156" s="40" t="s">
        <v>51</v>
      </c>
      <c r="H156" s="42"/>
      <c r="I156" s="42"/>
      <c r="J156" s="42"/>
    </row>
    <row r="157" ht="15.75" customHeight="1">
      <c r="A157" s="110">
        <v>46240.0</v>
      </c>
      <c r="B157" s="31" t="s">
        <v>40</v>
      </c>
      <c r="C157" s="31" t="s">
        <v>42</v>
      </c>
      <c r="D157" s="40" t="s">
        <v>44</v>
      </c>
      <c r="E157" s="31"/>
      <c r="F157" s="40" t="s">
        <v>55</v>
      </c>
      <c r="G157" s="40" t="s">
        <v>51</v>
      </c>
      <c r="H157" s="42"/>
      <c r="I157" s="42"/>
      <c r="J157" s="42"/>
    </row>
    <row r="158" ht="15.75" customHeight="1">
      <c r="A158" s="110">
        <v>46241.0</v>
      </c>
      <c r="B158" s="31" t="s">
        <v>10</v>
      </c>
      <c r="C158" s="31" t="s">
        <v>42</v>
      </c>
      <c r="D158" s="40" t="s">
        <v>44</v>
      </c>
      <c r="E158" s="31"/>
      <c r="F158" s="40" t="s">
        <v>55</v>
      </c>
      <c r="G158" s="40" t="s">
        <v>51</v>
      </c>
      <c r="H158" s="42"/>
      <c r="I158" s="42"/>
      <c r="J158" s="42"/>
    </row>
    <row r="159" ht="15.75" customHeight="1">
      <c r="A159" s="110">
        <v>46244.0</v>
      </c>
      <c r="B159" s="31" t="s">
        <v>41</v>
      </c>
      <c r="C159" s="31" t="s">
        <v>42</v>
      </c>
      <c r="D159" s="40" t="s">
        <v>44</v>
      </c>
      <c r="E159" s="31"/>
      <c r="F159" s="40" t="s">
        <v>55</v>
      </c>
      <c r="G159" s="40" t="s">
        <v>51</v>
      </c>
      <c r="H159" s="42"/>
      <c r="I159" s="42"/>
      <c r="J159" s="42"/>
    </row>
    <row r="160" ht="15.75" customHeight="1">
      <c r="A160" s="110">
        <v>46245.0</v>
      </c>
      <c r="B160" s="40" t="s">
        <v>91</v>
      </c>
      <c r="C160" s="31" t="s">
        <v>42</v>
      </c>
      <c r="D160" s="40" t="s">
        <v>44</v>
      </c>
      <c r="E160" s="31"/>
      <c r="F160" s="40">
        <v>175.0</v>
      </c>
      <c r="G160" s="40" t="s">
        <v>51</v>
      </c>
      <c r="H160" s="42"/>
      <c r="I160" s="42"/>
      <c r="J160" s="42"/>
    </row>
    <row r="161" ht="15.75" customHeight="1">
      <c r="A161" s="110">
        <v>46246.0</v>
      </c>
      <c r="B161" s="31" t="s">
        <v>18</v>
      </c>
      <c r="C161" s="31" t="s">
        <v>42</v>
      </c>
      <c r="D161" s="40" t="s">
        <v>53</v>
      </c>
      <c r="E161" s="31"/>
      <c r="F161" s="40">
        <v>150.0</v>
      </c>
      <c r="G161" s="40" t="s">
        <v>51</v>
      </c>
      <c r="H161" s="42"/>
      <c r="I161" s="42"/>
      <c r="J161" s="42"/>
    </row>
    <row r="162" ht="15.75" customHeight="1">
      <c r="A162" s="110">
        <v>46247.0</v>
      </c>
      <c r="B162" s="31" t="s">
        <v>40</v>
      </c>
      <c r="C162" s="31" t="s">
        <v>42</v>
      </c>
      <c r="D162" s="40" t="s">
        <v>53</v>
      </c>
      <c r="E162" s="40">
        <v>150.0</v>
      </c>
      <c r="F162" s="40" t="s">
        <v>55</v>
      </c>
      <c r="G162" s="40" t="s">
        <v>51</v>
      </c>
      <c r="H162" s="56" t="s">
        <v>47</v>
      </c>
      <c r="I162" s="42"/>
      <c r="J162" s="42"/>
    </row>
    <row r="163" ht="15.75" customHeight="1">
      <c r="A163" s="110">
        <v>46248.0</v>
      </c>
      <c r="B163" s="31" t="s">
        <v>10</v>
      </c>
      <c r="C163" s="31" t="s">
        <v>42</v>
      </c>
      <c r="D163" s="40" t="s">
        <v>44</v>
      </c>
      <c r="E163" s="31"/>
      <c r="F163" s="40">
        <v>125.0</v>
      </c>
      <c r="G163" s="40" t="s">
        <v>51</v>
      </c>
      <c r="H163" s="42"/>
      <c r="I163" s="42"/>
      <c r="J163" s="42"/>
    </row>
    <row r="164" ht="15.75" customHeight="1">
      <c r="A164" s="110">
        <v>46251.0</v>
      </c>
      <c r="B164" s="31" t="s">
        <v>41</v>
      </c>
      <c r="C164" s="31" t="s">
        <v>42</v>
      </c>
      <c r="D164" s="40" t="s">
        <v>44</v>
      </c>
      <c r="E164" s="31"/>
      <c r="F164" s="40" t="s">
        <v>55</v>
      </c>
      <c r="G164" s="40" t="s">
        <v>51</v>
      </c>
      <c r="H164" s="42"/>
      <c r="I164" s="42"/>
      <c r="J164" s="42"/>
    </row>
    <row r="165" ht="15.75" customHeight="1">
      <c r="A165" s="110">
        <v>46252.0</v>
      </c>
      <c r="B165" s="31" t="s">
        <v>14</v>
      </c>
      <c r="C165" s="31" t="s">
        <v>42</v>
      </c>
      <c r="D165" s="40" t="s">
        <v>53</v>
      </c>
      <c r="E165" s="31"/>
      <c r="F165" s="40" t="s">
        <v>55</v>
      </c>
      <c r="G165" s="40" t="s">
        <v>51</v>
      </c>
      <c r="H165" s="42"/>
      <c r="I165" s="42"/>
      <c r="J165" s="42"/>
    </row>
    <row r="166" ht="15.75" customHeight="1">
      <c r="A166" s="74">
        <v>46253.0</v>
      </c>
      <c r="B166" s="76" t="s">
        <v>18</v>
      </c>
      <c r="C166" s="76" t="s">
        <v>42</v>
      </c>
      <c r="D166" s="76"/>
      <c r="E166" s="76"/>
      <c r="F166" s="76"/>
      <c r="G166" s="76"/>
      <c r="H166" s="78" t="s">
        <v>69</v>
      </c>
      <c r="I166" s="78" t="s">
        <v>104</v>
      </c>
      <c r="J166" s="76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5.75" customHeight="1">
      <c r="A167" s="110">
        <v>46254.0</v>
      </c>
      <c r="B167" s="31" t="s">
        <v>40</v>
      </c>
      <c r="C167" s="31" t="s">
        <v>42</v>
      </c>
      <c r="D167" s="40" t="s">
        <v>53</v>
      </c>
      <c r="E167" s="31"/>
      <c r="F167" s="40">
        <v>125.0</v>
      </c>
      <c r="G167" s="40" t="s">
        <v>51</v>
      </c>
      <c r="H167" s="42"/>
      <c r="I167" s="42"/>
      <c r="J167" s="42"/>
    </row>
    <row r="168" ht="15.75" customHeight="1">
      <c r="A168" s="110">
        <v>46255.0</v>
      </c>
      <c r="B168" s="31" t="s">
        <v>10</v>
      </c>
      <c r="C168" s="31" t="s">
        <v>42</v>
      </c>
      <c r="D168" s="40" t="s">
        <v>53</v>
      </c>
      <c r="E168" s="31"/>
      <c r="F168" s="40" t="s">
        <v>55</v>
      </c>
      <c r="G168" s="40" t="s">
        <v>51</v>
      </c>
      <c r="H168" s="42"/>
      <c r="I168" s="42"/>
      <c r="J168" s="42"/>
    </row>
    <row r="169" ht="15.75" customHeight="1">
      <c r="A169" s="110">
        <v>46258.0</v>
      </c>
      <c r="B169" s="31" t="s">
        <v>41</v>
      </c>
      <c r="C169" s="31" t="s">
        <v>42</v>
      </c>
      <c r="D169" s="40" t="s">
        <v>53</v>
      </c>
      <c r="E169" s="31"/>
      <c r="F169" s="40">
        <v>175.0</v>
      </c>
      <c r="G169" s="40" t="s">
        <v>51</v>
      </c>
      <c r="H169" s="42"/>
      <c r="I169" s="42"/>
      <c r="J169" s="42"/>
    </row>
    <row r="170" ht="15.75" customHeight="1">
      <c r="A170" s="110">
        <v>46259.0</v>
      </c>
      <c r="B170" s="31" t="s">
        <v>14</v>
      </c>
      <c r="C170" s="31" t="s">
        <v>42</v>
      </c>
      <c r="D170" s="40" t="s">
        <v>44</v>
      </c>
      <c r="E170" s="31"/>
      <c r="F170" s="40">
        <v>125.0</v>
      </c>
      <c r="G170" s="40" t="s">
        <v>51</v>
      </c>
      <c r="H170" s="42"/>
      <c r="I170" s="42"/>
      <c r="J170" s="42"/>
    </row>
    <row r="171" ht="15.75" customHeight="1">
      <c r="A171" s="110">
        <v>46260.0</v>
      </c>
      <c r="B171" s="31" t="s">
        <v>18</v>
      </c>
      <c r="C171" s="31" t="s">
        <v>42</v>
      </c>
      <c r="D171" s="40" t="s">
        <v>44</v>
      </c>
      <c r="E171" s="31"/>
      <c r="F171" s="40" t="s">
        <v>55</v>
      </c>
      <c r="G171" s="40" t="s">
        <v>51</v>
      </c>
      <c r="H171" s="42"/>
      <c r="I171" s="42"/>
      <c r="J171" s="42"/>
    </row>
    <row r="172" ht="15.75" customHeight="1">
      <c r="A172" s="110">
        <v>46261.0</v>
      </c>
      <c r="B172" s="31" t="s">
        <v>40</v>
      </c>
      <c r="C172" s="31" t="s">
        <v>42</v>
      </c>
      <c r="D172" s="40" t="s">
        <v>44</v>
      </c>
      <c r="E172" s="40">
        <v>100.0</v>
      </c>
      <c r="F172" s="40">
        <v>150.0</v>
      </c>
      <c r="G172" s="40" t="s">
        <v>51</v>
      </c>
      <c r="H172" s="56" t="s">
        <v>47</v>
      </c>
      <c r="I172" s="42"/>
      <c r="J172" s="42"/>
    </row>
    <row r="173" ht="15.75" customHeight="1">
      <c r="A173" s="110">
        <v>46262.0</v>
      </c>
      <c r="B173" s="31" t="s">
        <v>10</v>
      </c>
      <c r="C173" s="31" t="s">
        <v>42</v>
      </c>
      <c r="D173" s="40" t="s">
        <v>44</v>
      </c>
      <c r="E173" s="40">
        <v>100.0</v>
      </c>
      <c r="F173" s="40">
        <v>125.0</v>
      </c>
      <c r="G173" s="40" t="s">
        <v>51</v>
      </c>
      <c r="H173" s="56" t="s">
        <v>47</v>
      </c>
      <c r="I173" s="42"/>
      <c r="J173" s="42"/>
    </row>
    <row r="174" ht="15.75" customHeight="1">
      <c r="A174" s="113">
        <v>46265.0</v>
      </c>
      <c r="B174" s="91" t="s">
        <v>41</v>
      </c>
      <c r="C174" s="91" t="s">
        <v>42</v>
      </c>
      <c r="D174" s="92" t="s">
        <v>53</v>
      </c>
      <c r="E174" s="92">
        <v>125.0</v>
      </c>
      <c r="F174" s="92">
        <v>150.0</v>
      </c>
      <c r="G174" s="92" t="s">
        <v>51</v>
      </c>
      <c r="H174" s="56" t="s">
        <v>47</v>
      </c>
      <c r="I174" s="107"/>
      <c r="J174" s="107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5.75" customHeight="1">
      <c r="A175" s="110">
        <v>46266.0</v>
      </c>
      <c r="B175" s="31" t="s">
        <v>14</v>
      </c>
      <c r="C175" s="31" t="s">
        <v>42</v>
      </c>
      <c r="D175" s="40" t="s">
        <v>53</v>
      </c>
      <c r="E175" s="40">
        <v>125.0</v>
      </c>
      <c r="F175" s="40" t="s">
        <v>55</v>
      </c>
      <c r="G175" s="40" t="s">
        <v>51</v>
      </c>
      <c r="H175" s="56" t="s">
        <v>47</v>
      </c>
      <c r="I175" s="42"/>
      <c r="J175" s="42"/>
    </row>
    <row r="176" ht="15.75" customHeight="1">
      <c r="A176" s="110">
        <v>46267.0</v>
      </c>
      <c r="B176" s="31" t="s">
        <v>18</v>
      </c>
      <c r="C176" s="31" t="s">
        <v>42</v>
      </c>
      <c r="D176" s="40" t="s">
        <v>53</v>
      </c>
      <c r="E176" s="40">
        <v>200.0</v>
      </c>
      <c r="F176" s="31"/>
      <c r="G176" s="40" t="s">
        <v>46</v>
      </c>
      <c r="H176" s="56" t="s">
        <v>47</v>
      </c>
      <c r="I176" s="42"/>
      <c r="J176" s="42"/>
    </row>
    <row r="177" ht="15.75" customHeight="1">
      <c r="A177" s="110">
        <v>46268.0</v>
      </c>
      <c r="B177" s="31" t="s">
        <v>40</v>
      </c>
      <c r="C177" s="31" t="s">
        <v>42</v>
      </c>
      <c r="D177" s="40" t="s">
        <v>44</v>
      </c>
      <c r="E177" s="40">
        <v>125.0</v>
      </c>
      <c r="F177" s="40" t="s">
        <v>55</v>
      </c>
      <c r="G177" s="40" t="s">
        <v>51</v>
      </c>
      <c r="H177" s="56" t="s">
        <v>47</v>
      </c>
      <c r="I177" s="42"/>
      <c r="J177" s="42"/>
    </row>
    <row r="178" ht="15.75" customHeight="1">
      <c r="A178" s="110">
        <v>46269.0</v>
      </c>
      <c r="B178" s="31" t="s">
        <v>10</v>
      </c>
      <c r="C178" s="31" t="s">
        <v>42</v>
      </c>
      <c r="D178" s="40" t="s">
        <v>53</v>
      </c>
      <c r="E178" s="31"/>
      <c r="F178" s="40">
        <v>125.0</v>
      </c>
      <c r="G178" s="40" t="s">
        <v>51</v>
      </c>
      <c r="H178" s="42"/>
      <c r="I178" s="42"/>
      <c r="J178" s="42"/>
    </row>
    <row r="179" ht="15.75" customHeight="1">
      <c r="A179" s="74">
        <v>46272.0</v>
      </c>
      <c r="B179" s="76" t="s">
        <v>41</v>
      </c>
      <c r="C179" s="76" t="s">
        <v>42</v>
      </c>
      <c r="D179" s="76"/>
      <c r="E179" s="76"/>
      <c r="F179" s="76"/>
      <c r="G179" s="76"/>
      <c r="H179" s="78" t="s">
        <v>92</v>
      </c>
      <c r="I179" s="76"/>
      <c r="J179" s="76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5.75" customHeight="1">
      <c r="A180" s="110">
        <v>46273.0</v>
      </c>
      <c r="B180" s="31" t="s">
        <v>14</v>
      </c>
      <c r="C180" s="31" t="s">
        <v>42</v>
      </c>
      <c r="D180" s="40" t="s">
        <v>44</v>
      </c>
      <c r="E180" s="31"/>
      <c r="F180" s="40">
        <v>125.0</v>
      </c>
      <c r="G180" s="40" t="s">
        <v>51</v>
      </c>
      <c r="H180" s="42"/>
      <c r="I180" s="42"/>
      <c r="J180" s="42"/>
    </row>
    <row r="181" ht="15.75" customHeight="1">
      <c r="A181" s="110">
        <v>46274.0</v>
      </c>
      <c r="B181" s="40" t="s">
        <v>18</v>
      </c>
      <c r="C181" s="31" t="s">
        <v>42</v>
      </c>
      <c r="D181" s="40" t="s">
        <v>53</v>
      </c>
      <c r="E181" s="40">
        <v>200.0</v>
      </c>
      <c r="F181" s="31"/>
      <c r="G181" s="40" t="s">
        <v>46</v>
      </c>
      <c r="H181" s="103" t="s">
        <v>90</v>
      </c>
      <c r="I181" s="42"/>
      <c r="J181" s="42"/>
    </row>
    <row r="182" ht="15.75" customHeight="1">
      <c r="A182" s="110">
        <v>46275.0</v>
      </c>
      <c r="B182" s="40" t="s">
        <v>40</v>
      </c>
      <c r="C182" s="40" t="s">
        <v>42</v>
      </c>
      <c r="D182" s="40" t="s">
        <v>53</v>
      </c>
      <c r="E182" s="31"/>
      <c r="F182" s="40">
        <v>150.0</v>
      </c>
      <c r="G182" s="40" t="s">
        <v>51</v>
      </c>
      <c r="H182" s="42"/>
      <c r="I182" s="42"/>
      <c r="J182" s="42"/>
    </row>
    <row r="183" ht="15.75" customHeight="1">
      <c r="A183" s="110">
        <v>46276.0</v>
      </c>
      <c r="B183" s="40" t="s">
        <v>60</v>
      </c>
      <c r="C183" s="40" t="s">
        <v>42</v>
      </c>
      <c r="D183" s="40" t="s">
        <v>44</v>
      </c>
      <c r="E183" s="40">
        <v>200.0</v>
      </c>
      <c r="F183" s="31"/>
      <c r="G183" s="40" t="s">
        <v>46</v>
      </c>
      <c r="H183" s="56" t="s">
        <v>47</v>
      </c>
      <c r="I183" s="42"/>
      <c r="J183" s="42"/>
    </row>
    <row r="184" ht="15.75" customHeight="1">
      <c r="A184" s="121">
        <v>46279.0</v>
      </c>
      <c r="B184" s="40" t="s">
        <v>41</v>
      </c>
      <c r="C184" s="40" t="s">
        <v>42</v>
      </c>
      <c r="D184" s="40" t="s">
        <v>44</v>
      </c>
      <c r="E184" s="40">
        <v>125.0</v>
      </c>
      <c r="F184" s="40">
        <v>175.0</v>
      </c>
      <c r="G184" s="40" t="s">
        <v>51</v>
      </c>
      <c r="H184" s="56" t="s">
        <v>47</v>
      </c>
      <c r="I184" s="42"/>
      <c r="J184" s="42"/>
    </row>
    <row r="185" ht="15.75" customHeight="1">
      <c r="A185" s="121">
        <v>46280.0</v>
      </c>
      <c r="B185" s="40" t="s">
        <v>14</v>
      </c>
      <c r="C185" s="40" t="s">
        <v>42</v>
      </c>
      <c r="D185" s="40" t="s">
        <v>53</v>
      </c>
      <c r="E185" s="31"/>
      <c r="F185" s="40">
        <v>175.0</v>
      </c>
      <c r="G185" s="40" t="s">
        <v>51</v>
      </c>
      <c r="H185" s="42"/>
      <c r="I185" s="42"/>
      <c r="J185" s="42"/>
    </row>
    <row r="186" ht="15.75" customHeight="1">
      <c r="A186" s="121">
        <v>46281.0</v>
      </c>
      <c r="B186" s="40" t="s">
        <v>18</v>
      </c>
      <c r="C186" s="40" t="s">
        <v>42</v>
      </c>
      <c r="D186" s="40" t="s">
        <v>44</v>
      </c>
      <c r="E186" s="31"/>
      <c r="F186" s="40" t="s">
        <v>55</v>
      </c>
      <c r="G186" s="40" t="s">
        <v>51</v>
      </c>
      <c r="H186" s="42"/>
      <c r="I186" s="42"/>
      <c r="J186" s="42"/>
    </row>
    <row r="187" ht="15.75" customHeight="1">
      <c r="A187" s="121">
        <v>46282.0</v>
      </c>
      <c r="B187" s="40" t="s">
        <v>40</v>
      </c>
      <c r="C187" s="40" t="s">
        <v>42</v>
      </c>
      <c r="D187" s="40" t="s">
        <v>44</v>
      </c>
      <c r="E187" s="40">
        <v>200.0</v>
      </c>
      <c r="F187" s="40"/>
      <c r="G187" s="40" t="s">
        <v>46</v>
      </c>
      <c r="H187" s="103" t="s">
        <v>90</v>
      </c>
      <c r="I187" s="42"/>
      <c r="J187" s="42"/>
    </row>
    <row r="188" ht="15.75" customHeight="1">
      <c r="A188" s="121">
        <v>46283.0</v>
      </c>
      <c r="B188" s="40" t="s">
        <v>10</v>
      </c>
      <c r="C188" s="40" t="s">
        <v>42</v>
      </c>
      <c r="D188" s="40" t="s">
        <v>44</v>
      </c>
      <c r="E188" s="40"/>
      <c r="F188" s="40" t="s">
        <v>55</v>
      </c>
      <c r="G188" s="40" t="s">
        <v>51</v>
      </c>
      <c r="H188" s="42"/>
      <c r="I188" s="42"/>
      <c r="J188" s="42"/>
    </row>
    <row r="189" ht="15.75" customHeight="1">
      <c r="A189" s="121">
        <v>46286.0</v>
      </c>
      <c r="B189" s="40" t="s">
        <v>41</v>
      </c>
      <c r="C189" s="40" t="s">
        <v>42</v>
      </c>
      <c r="D189" s="40" t="s">
        <v>44</v>
      </c>
      <c r="E189" s="40">
        <v>175.0</v>
      </c>
      <c r="F189" s="40"/>
      <c r="G189" s="40" t="s">
        <v>46</v>
      </c>
      <c r="H189" s="56" t="s">
        <v>47</v>
      </c>
      <c r="I189" s="42"/>
      <c r="J189" s="42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F7778D9-C128-4C42-AB27-6F137E84428F}" filter="1" showAutoFilter="1">
      <autoFilter ref="$A$1:$J$189">
        <filterColumn colId="4">
          <filters>
            <filter val="100"/>
            <filter val="125"/>
            <filter val="150"/>
          </filters>
        </filterColumn>
      </autoFilter>
    </customSheetView>
  </customSheetViews>
  <conditionalFormatting sqref="E2:E189">
    <cfRule type="expression" dxfId="9" priority="1">
      <formula>OR(E2="175",E2="200",E2="&gt;200")</formula>
    </cfRule>
  </conditionalFormatting>
  <conditionalFormatting sqref="F2:F189">
    <cfRule type="expression" dxfId="10" priority="2">
      <formula>OR(F2="150",F2="175",F2="200",F2="200+")</formula>
    </cfRule>
  </conditionalFormatting>
  <conditionalFormatting sqref="G2:G189">
    <cfRule type="expression" dxfId="10" priority="3">
      <formula>G2="WIN"</formula>
    </cfRule>
  </conditionalFormatting>
  <conditionalFormatting sqref="G2:G189">
    <cfRule type="expression" dxfId="9" priority="4">
      <formula>G2="LOSS"</formula>
    </cfRule>
  </conditionalFormatting>
  <dataValidations>
    <dataValidation type="list" allowBlank="1" sqref="F2:F137 F139:F140 F142:F189">
      <formula1>"&lt;100,100,125,150,175,200,200+"</formula1>
    </dataValidation>
    <dataValidation type="list" allowBlank="1" sqref="D2:D189">
      <formula1>"COMPRA,VENDA"</formula1>
    </dataValidation>
    <dataValidation type="list" allowBlank="1" sqref="E2:E137 E139 E141:E189">
      <formula1>"&lt;100,100,125,150,175,200,&gt;200"</formula1>
    </dataValidation>
    <dataValidation type="list" allowBlank="1" sqref="G2:G189">
      <formula1>"WIN,LOSS"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6.88"/>
    <col customWidth="1" min="6" max="6" width="13.13"/>
    <col customWidth="1" min="7" max="7" width="16.13"/>
    <col customWidth="1" min="8" max="8" width="46.0"/>
  </cols>
  <sheetData>
    <row r="1">
      <c r="A1" s="1" t="s">
        <v>5</v>
      </c>
      <c r="E1" s="2" t="s">
        <v>6</v>
      </c>
      <c r="F1" s="1" t="s">
        <v>7</v>
      </c>
      <c r="G1" s="1" t="s">
        <v>8</v>
      </c>
    </row>
    <row r="2">
      <c r="A2" s="1" t="s">
        <v>9</v>
      </c>
      <c r="B2" s="3">
        <v>0.2</v>
      </c>
      <c r="C2" s="5">
        <v>46024.0</v>
      </c>
      <c r="D2" s="6" t="s">
        <v>10</v>
      </c>
      <c r="E2" s="7" t="s">
        <v>11</v>
      </c>
      <c r="F2" s="8">
        <v>720.0</v>
      </c>
      <c r="G2" s="9"/>
      <c r="H2" s="10"/>
    </row>
    <row r="3">
      <c r="A3" s="1" t="s">
        <v>13</v>
      </c>
      <c r="B3" s="3">
        <v>0.2</v>
      </c>
      <c r="C3" s="11">
        <v>46028.0</v>
      </c>
      <c r="D3" s="12" t="s">
        <v>14</v>
      </c>
      <c r="E3" s="13" t="s">
        <v>11</v>
      </c>
      <c r="F3" s="13">
        <v>720.0</v>
      </c>
      <c r="G3" s="14"/>
      <c r="H3" s="15"/>
    </row>
    <row r="4">
      <c r="A4" s="1" t="s">
        <v>17</v>
      </c>
      <c r="B4" s="3">
        <v>0.3</v>
      </c>
      <c r="C4" s="11">
        <v>46029.0</v>
      </c>
      <c r="D4" s="12" t="s">
        <v>18</v>
      </c>
      <c r="E4" s="7" t="s">
        <v>19</v>
      </c>
      <c r="F4" s="7">
        <v>2970.0</v>
      </c>
      <c r="G4" s="7">
        <v>240.0</v>
      </c>
      <c r="H4" s="17"/>
    </row>
    <row r="5">
      <c r="A5" s="1" t="s">
        <v>21</v>
      </c>
      <c r="B5" s="3">
        <v>0.3</v>
      </c>
      <c r="C5" s="11">
        <v>46031.0</v>
      </c>
      <c r="D5" s="12" t="s">
        <v>10</v>
      </c>
      <c r="E5" s="13" t="s">
        <v>19</v>
      </c>
      <c r="F5" s="13">
        <v>3312.0</v>
      </c>
      <c r="G5" s="13">
        <v>320.0</v>
      </c>
      <c r="H5" s="15"/>
    </row>
    <row r="6">
      <c r="A6" s="1" t="s">
        <v>26</v>
      </c>
      <c r="C6" s="11">
        <v>46035.0</v>
      </c>
      <c r="D6" s="12" t="s">
        <v>14</v>
      </c>
      <c r="E6" s="7" t="s">
        <v>19</v>
      </c>
      <c r="F6" s="7">
        <v>4446.0</v>
      </c>
      <c r="G6" s="7">
        <v>635.0</v>
      </c>
      <c r="H6" s="17"/>
    </row>
    <row r="7">
      <c r="A7" s="1" t="s">
        <v>30</v>
      </c>
      <c r="C7" s="11">
        <v>46042.0</v>
      </c>
      <c r="D7" s="12" t="s">
        <v>14</v>
      </c>
      <c r="E7" s="13" t="s">
        <v>34</v>
      </c>
      <c r="F7" s="13">
        <v>5706.0</v>
      </c>
      <c r="G7" s="13">
        <v>870.0</v>
      </c>
      <c r="H7" s="20" t="s">
        <v>38</v>
      </c>
    </row>
    <row r="8">
      <c r="C8" s="11">
        <v>46043.0</v>
      </c>
      <c r="D8" s="12" t="s">
        <v>18</v>
      </c>
      <c r="E8" s="7" t="s">
        <v>19</v>
      </c>
      <c r="F8" s="7">
        <v>4338.0</v>
      </c>
      <c r="G8" s="7">
        <v>620.0</v>
      </c>
      <c r="H8" s="23"/>
    </row>
    <row r="9">
      <c r="C9" s="11">
        <v>46048.0</v>
      </c>
      <c r="D9" s="12" t="s">
        <v>41</v>
      </c>
      <c r="E9" s="13" t="s">
        <v>34</v>
      </c>
      <c r="F9" s="13">
        <v>7554.0</v>
      </c>
      <c r="G9" s="13">
        <v>1800.0</v>
      </c>
      <c r="H9" s="20" t="s">
        <v>45</v>
      </c>
    </row>
    <row r="10">
      <c r="C10" s="25">
        <v>46051.0</v>
      </c>
      <c r="D10" s="26" t="s">
        <v>40</v>
      </c>
      <c r="E10" s="27" t="s">
        <v>11</v>
      </c>
      <c r="F10" s="27">
        <v>720.0</v>
      </c>
      <c r="G10" s="29"/>
      <c r="H10" s="32"/>
    </row>
    <row r="11">
      <c r="C11" s="5">
        <v>46056.0</v>
      </c>
      <c r="D11" s="6" t="s">
        <v>14</v>
      </c>
      <c r="E11" s="13" t="s">
        <v>11</v>
      </c>
      <c r="F11" s="33">
        <v>720.0</v>
      </c>
      <c r="G11" s="34"/>
      <c r="H11" s="35"/>
    </row>
    <row r="12">
      <c r="C12" s="11">
        <v>46065.0</v>
      </c>
      <c r="D12" s="12" t="s">
        <v>40</v>
      </c>
      <c r="E12" s="7" t="s">
        <v>11</v>
      </c>
      <c r="F12" s="7">
        <v>720.0</v>
      </c>
      <c r="G12" s="38"/>
      <c r="H12" s="23"/>
    </row>
    <row r="13">
      <c r="C13" s="11">
        <v>46076.0</v>
      </c>
      <c r="D13" s="12" t="s">
        <v>41</v>
      </c>
      <c r="E13" s="13" t="s">
        <v>19</v>
      </c>
      <c r="F13" s="13">
        <v>5850.0</v>
      </c>
      <c r="G13" s="13">
        <v>1050.0</v>
      </c>
      <c r="H13" s="43"/>
    </row>
    <row r="14">
      <c r="C14" s="11">
        <v>46077.0</v>
      </c>
      <c r="D14" s="12" t="s">
        <v>14</v>
      </c>
      <c r="E14" s="7" t="s">
        <v>11</v>
      </c>
      <c r="F14" s="7">
        <v>720.0</v>
      </c>
      <c r="G14" s="38"/>
      <c r="H14" s="23"/>
    </row>
    <row r="15">
      <c r="C15" s="25">
        <v>46079.0</v>
      </c>
      <c r="D15" s="26" t="s">
        <v>40</v>
      </c>
      <c r="E15" s="48" t="s">
        <v>11</v>
      </c>
      <c r="F15" s="48">
        <v>720.0</v>
      </c>
      <c r="G15" s="52"/>
      <c r="H15" s="54"/>
    </row>
    <row r="16">
      <c r="C16" s="22">
        <v>46084.0</v>
      </c>
      <c r="D16" s="12" t="s">
        <v>14</v>
      </c>
      <c r="E16" s="7" t="s">
        <v>11</v>
      </c>
      <c r="F16" s="7">
        <v>720.0</v>
      </c>
      <c r="G16" s="38"/>
      <c r="H16" s="38"/>
    </row>
    <row r="17">
      <c r="C17" s="58">
        <v>46099.0</v>
      </c>
      <c r="D17" s="59" t="s">
        <v>18</v>
      </c>
      <c r="E17" s="13" t="s">
        <v>19</v>
      </c>
      <c r="F17" s="13">
        <v>2160.0</v>
      </c>
      <c r="G17" s="60"/>
      <c r="H17" s="60"/>
    </row>
    <row r="18">
      <c r="C18" s="62">
        <v>46101.0</v>
      </c>
      <c r="D18" s="51" t="s">
        <v>10</v>
      </c>
      <c r="E18" s="7" t="s">
        <v>11</v>
      </c>
      <c r="F18" s="7">
        <v>720.0</v>
      </c>
      <c r="G18" s="38"/>
      <c r="H18" s="38"/>
    </row>
    <row r="19">
      <c r="C19" s="64">
        <v>46106.0</v>
      </c>
      <c r="D19" s="65" t="s">
        <v>18</v>
      </c>
      <c r="E19" s="48" t="s">
        <v>11</v>
      </c>
      <c r="F19" s="48">
        <v>720.0</v>
      </c>
      <c r="G19" s="52"/>
      <c r="H19" s="52"/>
    </row>
    <row r="20">
      <c r="C20" s="62">
        <v>46115.0</v>
      </c>
      <c r="D20" s="51" t="s">
        <v>10</v>
      </c>
      <c r="E20" s="38"/>
      <c r="F20" s="38"/>
      <c r="G20" s="38"/>
      <c r="H20" s="38"/>
    </row>
    <row r="21">
      <c r="C21" s="58">
        <v>46120.0</v>
      </c>
      <c r="D21" s="59" t="s">
        <v>18</v>
      </c>
      <c r="E21" s="13" t="s">
        <v>34</v>
      </c>
      <c r="F21" s="13">
        <v>5634.0</v>
      </c>
      <c r="G21" s="13">
        <v>760.0</v>
      </c>
      <c r="H21" s="13" t="s">
        <v>59</v>
      </c>
    </row>
    <row r="22">
      <c r="C22" s="62">
        <v>46122.0</v>
      </c>
      <c r="D22" s="51" t="s">
        <v>10</v>
      </c>
      <c r="E22" s="7" t="s">
        <v>11</v>
      </c>
      <c r="F22" s="7">
        <v>720.0</v>
      </c>
      <c r="G22" s="38"/>
      <c r="H22" s="38"/>
    </row>
    <row r="23">
      <c r="C23" s="58">
        <v>46128.0</v>
      </c>
      <c r="D23" s="59" t="s">
        <v>40</v>
      </c>
      <c r="E23" s="13" t="s">
        <v>19</v>
      </c>
      <c r="F23" s="13">
        <v>3024.0</v>
      </c>
      <c r="G23" s="13">
        <v>250.0</v>
      </c>
      <c r="H23" s="60"/>
    </row>
    <row r="24">
      <c r="C24" s="62">
        <v>46129.0</v>
      </c>
      <c r="D24" s="51" t="s">
        <v>10</v>
      </c>
      <c r="E24" s="7" t="s">
        <v>11</v>
      </c>
      <c r="F24" s="7">
        <v>720.0</v>
      </c>
      <c r="G24" s="38"/>
      <c r="H24" s="38"/>
    </row>
    <row r="25">
      <c r="C25" s="58">
        <v>46134.0</v>
      </c>
      <c r="D25" s="59" t="s">
        <v>18</v>
      </c>
      <c r="E25" s="13" t="s">
        <v>34</v>
      </c>
      <c r="F25" s="13">
        <v>4932.0</v>
      </c>
      <c r="G25" s="13">
        <v>495.0</v>
      </c>
      <c r="H25" s="60"/>
    </row>
    <row r="26">
      <c r="C26" s="62">
        <v>46136.0</v>
      </c>
      <c r="D26" s="51" t="s">
        <v>10</v>
      </c>
      <c r="E26" s="7" t="s">
        <v>11</v>
      </c>
      <c r="F26" s="7">
        <v>720.0</v>
      </c>
      <c r="G26" s="38"/>
      <c r="H26" s="38"/>
    </row>
    <row r="27">
      <c r="C27" s="64">
        <v>46139.0</v>
      </c>
      <c r="D27" s="65" t="s">
        <v>41</v>
      </c>
      <c r="E27" s="48" t="s">
        <v>11</v>
      </c>
      <c r="F27" s="48">
        <v>720.0</v>
      </c>
      <c r="G27" s="52"/>
      <c r="H27" s="52"/>
    </row>
    <row r="28">
      <c r="C28" s="62">
        <v>46147.0</v>
      </c>
      <c r="D28" s="51" t="s">
        <v>14</v>
      </c>
      <c r="E28" s="7" t="s">
        <v>19</v>
      </c>
      <c r="F28" s="7">
        <v>3168.0</v>
      </c>
      <c r="G28" s="38"/>
      <c r="H28" s="38"/>
    </row>
    <row r="29">
      <c r="C29" s="58">
        <v>46148.0</v>
      </c>
      <c r="D29" s="59" t="s">
        <v>18</v>
      </c>
      <c r="E29" s="13" t="s">
        <v>11</v>
      </c>
      <c r="F29" s="13">
        <v>720.0</v>
      </c>
      <c r="G29" s="60"/>
      <c r="H29" s="60"/>
    </row>
    <row r="30">
      <c r="C30" s="62">
        <v>46149.0</v>
      </c>
      <c r="D30" s="51" t="s">
        <v>40</v>
      </c>
      <c r="E30" s="7" t="s">
        <v>34</v>
      </c>
      <c r="F30" s="7">
        <v>6552.0</v>
      </c>
      <c r="G30" s="7">
        <v>1440.0</v>
      </c>
      <c r="H30" s="7" t="s">
        <v>61</v>
      </c>
    </row>
    <row r="31">
      <c r="C31" s="58">
        <v>46154.0</v>
      </c>
      <c r="D31" s="59" t="s">
        <v>14</v>
      </c>
      <c r="E31" s="13" t="s">
        <v>19</v>
      </c>
      <c r="F31" s="13">
        <v>3654.0</v>
      </c>
      <c r="G31" s="13">
        <v>415.0</v>
      </c>
      <c r="H31" s="60"/>
    </row>
    <row r="32">
      <c r="C32" s="62">
        <v>46155.0</v>
      </c>
      <c r="D32" s="51" t="s">
        <v>18</v>
      </c>
      <c r="E32" s="7" t="s">
        <v>19</v>
      </c>
      <c r="F32" s="7">
        <v>3366.0</v>
      </c>
      <c r="G32" s="7">
        <v>350.0</v>
      </c>
      <c r="H32" s="38"/>
    </row>
    <row r="33">
      <c r="C33" s="58">
        <v>46157.0</v>
      </c>
      <c r="D33" s="59" t="s">
        <v>10</v>
      </c>
      <c r="E33" s="13" t="s">
        <v>11</v>
      </c>
      <c r="F33" s="13">
        <v>720.0</v>
      </c>
      <c r="G33" s="60"/>
      <c r="H33" s="60"/>
    </row>
    <row r="34">
      <c r="C34" s="62">
        <v>46161.0</v>
      </c>
      <c r="D34" s="51" t="s">
        <v>14</v>
      </c>
      <c r="E34" s="7" t="s">
        <v>34</v>
      </c>
      <c r="F34" s="7">
        <v>6633.0</v>
      </c>
      <c r="G34" s="7">
        <v>1450.0</v>
      </c>
      <c r="H34" s="7" t="s">
        <v>62</v>
      </c>
    </row>
    <row r="35">
      <c r="C35" s="58">
        <v>46164.0</v>
      </c>
      <c r="D35" s="59" t="s">
        <v>10</v>
      </c>
      <c r="E35" s="13" t="s">
        <v>11</v>
      </c>
      <c r="F35" s="13">
        <v>720.0</v>
      </c>
      <c r="G35" s="60"/>
      <c r="H35" s="60"/>
    </row>
    <row r="36">
      <c r="C36" s="69">
        <v>46169.0</v>
      </c>
      <c r="D36" s="70" t="s">
        <v>18</v>
      </c>
      <c r="E36" s="27" t="s">
        <v>34</v>
      </c>
      <c r="F36" s="27">
        <v>5085.0</v>
      </c>
      <c r="G36" s="27">
        <v>625.0</v>
      </c>
      <c r="H36" s="27" t="s">
        <v>59</v>
      </c>
    </row>
    <row r="37">
      <c r="C37" s="58">
        <v>46174.0</v>
      </c>
      <c r="D37" s="59" t="s">
        <v>41</v>
      </c>
      <c r="E37" s="13" t="s">
        <v>11</v>
      </c>
      <c r="F37" s="13">
        <v>720.0</v>
      </c>
      <c r="G37" s="60"/>
      <c r="H37" s="60"/>
    </row>
    <row r="38">
      <c r="C38" s="62">
        <v>46181.0</v>
      </c>
      <c r="D38" s="51" t="s">
        <v>41</v>
      </c>
      <c r="E38" s="7" t="s">
        <v>19</v>
      </c>
      <c r="F38" s="7">
        <v>2160.0</v>
      </c>
      <c r="G38" s="7">
        <v>100.0</v>
      </c>
      <c r="H38" s="38"/>
    </row>
    <row r="39">
      <c r="C39" s="58">
        <v>46182.0</v>
      </c>
      <c r="D39" s="59" t="s">
        <v>14</v>
      </c>
      <c r="E39" s="13" t="s">
        <v>11</v>
      </c>
      <c r="F39" s="13">
        <v>720.0</v>
      </c>
      <c r="G39" s="60"/>
      <c r="H39" s="60"/>
    </row>
    <row r="40">
      <c r="C40" s="62">
        <v>46190.0</v>
      </c>
      <c r="D40" s="51" t="s">
        <v>18</v>
      </c>
      <c r="E40" s="7" t="s">
        <v>19</v>
      </c>
      <c r="F40" s="7">
        <v>2160.0</v>
      </c>
      <c r="G40" s="38"/>
      <c r="H40" s="38"/>
    </row>
    <row r="41">
      <c r="C41" s="58">
        <v>46191.0</v>
      </c>
      <c r="D41" s="59" t="s">
        <v>40</v>
      </c>
      <c r="E41" s="13" t="s">
        <v>11</v>
      </c>
      <c r="F41" s="13">
        <v>720.0</v>
      </c>
      <c r="G41" s="60"/>
      <c r="H41" s="60"/>
    </row>
    <row r="42">
      <c r="C42" s="62">
        <v>46195.0</v>
      </c>
      <c r="D42" s="51" t="s">
        <v>41</v>
      </c>
      <c r="E42" s="7" t="s">
        <v>34</v>
      </c>
      <c r="F42" s="7">
        <v>5760.0</v>
      </c>
      <c r="G42" s="73">
        <v>505.0</v>
      </c>
      <c r="H42" s="38" t="s">
        <v>63</v>
      </c>
    </row>
    <row r="43">
      <c r="C43" s="58">
        <v>46196.0</v>
      </c>
      <c r="D43" s="59" t="s">
        <v>14</v>
      </c>
      <c r="E43" s="13" t="s">
        <v>11</v>
      </c>
      <c r="F43" s="13">
        <v>720.0</v>
      </c>
      <c r="G43" s="13"/>
      <c r="H43" s="13"/>
    </row>
    <row r="44">
      <c r="C44" s="69">
        <v>46202.0</v>
      </c>
      <c r="D44" s="70" t="s">
        <v>41</v>
      </c>
      <c r="E44" s="27" t="s">
        <v>19</v>
      </c>
      <c r="F44" s="27">
        <v>3906.0</v>
      </c>
      <c r="G44" s="27">
        <v>480.0</v>
      </c>
      <c r="H44" s="29"/>
    </row>
    <row r="45">
      <c r="C45" s="58">
        <v>46210.0</v>
      </c>
      <c r="D45" s="59" t="s">
        <v>14</v>
      </c>
      <c r="E45" s="13" t="s">
        <v>19</v>
      </c>
      <c r="F45" s="13">
        <v>2934.0</v>
      </c>
      <c r="G45" s="13">
        <v>215.0</v>
      </c>
      <c r="H45" s="60"/>
    </row>
    <row r="46">
      <c r="C46" s="62">
        <v>46212.0</v>
      </c>
      <c r="D46" s="51" t="s">
        <v>40</v>
      </c>
      <c r="E46" s="7" t="s">
        <v>11</v>
      </c>
      <c r="F46" s="7">
        <v>720.0</v>
      </c>
      <c r="G46" s="38"/>
      <c r="H46" s="38"/>
    </row>
    <row r="47">
      <c r="C47" s="58">
        <v>46217.0</v>
      </c>
      <c r="D47" s="59" t="s">
        <v>14</v>
      </c>
      <c r="E47" s="13" t="s">
        <v>11</v>
      </c>
      <c r="F47" s="13">
        <v>720.0</v>
      </c>
      <c r="G47" s="60"/>
      <c r="H47" s="60"/>
    </row>
    <row r="48">
      <c r="C48" s="62">
        <v>46219.0</v>
      </c>
      <c r="D48" s="51" t="s">
        <v>40</v>
      </c>
      <c r="E48" s="7" t="s">
        <v>34</v>
      </c>
      <c r="F48" s="7">
        <v>5409.0</v>
      </c>
      <c r="G48" s="7">
        <v>710.0</v>
      </c>
      <c r="H48" s="7" t="s">
        <v>64</v>
      </c>
    </row>
    <row r="49">
      <c r="C49" s="58">
        <v>46220.0</v>
      </c>
      <c r="D49" s="59" t="s">
        <v>10</v>
      </c>
      <c r="E49" s="13" t="s">
        <v>11</v>
      </c>
      <c r="F49" s="13">
        <v>720.0</v>
      </c>
      <c r="G49" s="60"/>
      <c r="H49" s="60"/>
    </row>
    <row r="50">
      <c r="C50" s="62">
        <v>46224.0</v>
      </c>
      <c r="D50" s="51" t="s">
        <v>14</v>
      </c>
      <c r="E50" s="7" t="s">
        <v>11</v>
      </c>
      <c r="F50" s="7">
        <v>720.0</v>
      </c>
      <c r="G50" s="38"/>
      <c r="H50" s="38"/>
    </row>
    <row r="51">
      <c r="C51" s="58">
        <v>46225.0</v>
      </c>
      <c r="D51" s="59" t="s">
        <v>18</v>
      </c>
      <c r="E51" s="13" t="s">
        <v>34</v>
      </c>
      <c r="F51" s="13">
        <v>6561.0</v>
      </c>
      <c r="G51" s="13">
        <v>1445.0</v>
      </c>
      <c r="H51" s="13" t="s">
        <v>65</v>
      </c>
    </row>
    <row r="52">
      <c r="C52" s="69">
        <v>46226.0</v>
      </c>
      <c r="D52" s="70" t="s">
        <v>40</v>
      </c>
      <c r="E52" s="27" t="s">
        <v>11</v>
      </c>
      <c r="F52" s="27">
        <v>720.0</v>
      </c>
      <c r="G52" s="29"/>
      <c r="H52" s="29"/>
    </row>
    <row r="53">
      <c r="C53" s="58">
        <v>46238.0</v>
      </c>
      <c r="D53" s="59" t="s">
        <v>14</v>
      </c>
      <c r="E53" s="13" t="s">
        <v>11</v>
      </c>
      <c r="F53" s="13">
        <v>720.0</v>
      </c>
      <c r="G53" s="60"/>
      <c r="H53" s="60"/>
    </row>
    <row r="54">
      <c r="C54" s="62">
        <v>46240.0</v>
      </c>
      <c r="D54" s="51" t="s">
        <v>40</v>
      </c>
      <c r="E54" s="7" t="s">
        <v>11</v>
      </c>
      <c r="F54" s="7">
        <v>720.0</v>
      </c>
      <c r="G54" s="38"/>
      <c r="H54" s="38"/>
    </row>
    <row r="55">
      <c r="C55" s="58">
        <v>46241.0</v>
      </c>
      <c r="D55" s="59" t="s">
        <v>10</v>
      </c>
      <c r="E55" s="13" t="s">
        <v>34</v>
      </c>
      <c r="F55" s="13">
        <v>8829.0</v>
      </c>
      <c r="G55" s="13">
        <v>2705.0</v>
      </c>
      <c r="H55" s="13" t="s">
        <v>68</v>
      </c>
    </row>
    <row r="56">
      <c r="C56" s="62">
        <v>46244.0</v>
      </c>
      <c r="D56" s="51" t="s">
        <v>41</v>
      </c>
      <c r="E56" s="7" t="s">
        <v>11</v>
      </c>
      <c r="F56" s="7">
        <v>720.0</v>
      </c>
      <c r="G56" s="38"/>
      <c r="H56" s="7"/>
    </row>
    <row r="57" ht="15.75" customHeight="1">
      <c r="C57" s="58">
        <v>46247.0</v>
      </c>
      <c r="D57" s="59" t="s">
        <v>40</v>
      </c>
      <c r="E57" s="13" t="s">
        <v>19</v>
      </c>
      <c r="F57" s="13">
        <v>3078.0</v>
      </c>
      <c r="G57" s="13">
        <v>400.0</v>
      </c>
      <c r="H57" s="60"/>
    </row>
    <row r="58">
      <c r="C58" s="62">
        <v>46251.0</v>
      </c>
      <c r="D58" s="51" t="s">
        <v>41</v>
      </c>
      <c r="E58" s="7" t="s">
        <v>34</v>
      </c>
      <c r="F58" s="7">
        <v>5256.0</v>
      </c>
      <c r="G58" s="7">
        <v>525.0</v>
      </c>
      <c r="H58" s="7" t="s">
        <v>75</v>
      </c>
    </row>
    <row r="59">
      <c r="C59" s="58">
        <v>46252.0</v>
      </c>
      <c r="D59" s="59" t="s">
        <v>14</v>
      </c>
      <c r="E59" s="13" t="s">
        <v>19</v>
      </c>
      <c r="F59" s="13">
        <v>4266.0</v>
      </c>
      <c r="G59" s="13">
        <v>645.0</v>
      </c>
      <c r="H59" s="60"/>
    </row>
    <row r="60">
      <c r="C60" s="62">
        <v>46255.0</v>
      </c>
      <c r="D60" s="51" t="s">
        <v>10</v>
      </c>
      <c r="E60" s="7" t="s">
        <v>34</v>
      </c>
      <c r="F60" s="7">
        <v>5949.0</v>
      </c>
      <c r="G60" s="7">
        <v>1100.0</v>
      </c>
      <c r="H60" s="7" t="s">
        <v>78</v>
      </c>
    </row>
    <row r="61">
      <c r="C61" s="64">
        <v>46260.0</v>
      </c>
      <c r="D61" s="65" t="s">
        <v>18</v>
      </c>
      <c r="E61" s="48" t="s">
        <v>19</v>
      </c>
      <c r="F61" s="48">
        <v>3186.0</v>
      </c>
      <c r="G61" s="48">
        <v>390.0</v>
      </c>
      <c r="H61" s="52"/>
    </row>
    <row r="62">
      <c r="C62" s="62">
        <v>46266.0</v>
      </c>
      <c r="D62" s="51" t="s">
        <v>14</v>
      </c>
      <c r="E62" s="7" t="s">
        <v>34</v>
      </c>
      <c r="F62" s="7">
        <v>5301.0</v>
      </c>
      <c r="G62" s="7">
        <v>790.0</v>
      </c>
      <c r="H62" s="7" t="s">
        <v>79</v>
      </c>
    </row>
    <row r="63">
      <c r="C63" s="58">
        <v>46268.0</v>
      </c>
      <c r="D63" s="59" t="s">
        <v>40</v>
      </c>
      <c r="E63" s="13" t="s">
        <v>19</v>
      </c>
      <c r="F63" s="13">
        <v>2160.0</v>
      </c>
      <c r="G63" s="60"/>
      <c r="H63" s="60"/>
    </row>
    <row r="64">
      <c r="E64" s="84"/>
    </row>
    <row r="65">
      <c r="E65" s="84"/>
    </row>
    <row r="66">
      <c r="E66" s="84"/>
    </row>
    <row r="67">
      <c r="E67" s="84"/>
    </row>
    <row r="68">
      <c r="E68" s="84"/>
    </row>
    <row r="69">
      <c r="E69" s="84"/>
    </row>
    <row r="70">
      <c r="E70" s="84"/>
    </row>
    <row r="71">
      <c r="E71" s="84"/>
    </row>
    <row r="72">
      <c r="E72" s="84"/>
    </row>
    <row r="73">
      <c r="E73" s="84"/>
    </row>
    <row r="74">
      <c r="E74" s="84"/>
    </row>
    <row r="75">
      <c r="E75" s="84"/>
    </row>
    <row r="76">
      <c r="E76" s="84"/>
    </row>
    <row r="77">
      <c r="E77" s="84"/>
    </row>
    <row r="78">
      <c r="E78" s="84"/>
    </row>
    <row r="79">
      <c r="E79" s="84"/>
    </row>
    <row r="80">
      <c r="E80" s="84"/>
    </row>
    <row r="81">
      <c r="E81" s="84"/>
    </row>
    <row r="82">
      <c r="E82" s="84"/>
    </row>
    <row r="83">
      <c r="E83" s="84"/>
    </row>
    <row r="84">
      <c r="E84" s="84"/>
    </row>
    <row r="85">
      <c r="E85" s="84"/>
    </row>
    <row r="86">
      <c r="E86" s="84"/>
    </row>
    <row r="87">
      <c r="E87" s="84"/>
    </row>
    <row r="88">
      <c r="E88" s="84"/>
    </row>
    <row r="89">
      <c r="E89" s="84"/>
    </row>
    <row r="90">
      <c r="E90" s="84"/>
    </row>
    <row r="91">
      <c r="E91" s="84"/>
    </row>
    <row r="92">
      <c r="E92" s="84"/>
    </row>
    <row r="93">
      <c r="E93" s="84"/>
    </row>
    <row r="94">
      <c r="E94" s="84"/>
    </row>
    <row r="95">
      <c r="E95" s="84"/>
    </row>
    <row r="96">
      <c r="E96" s="84"/>
    </row>
    <row r="97">
      <c r="E97" s="84"/>
    </row>
    <row r="98">
      <c r="E98" s="84"/>
    </row>
    <row r="99">
      <c r="E99" s="84"/>
    </row>
    <row r="100">
      <c r="E100" s="84"/>
    </row>
    <row r="101">
      <c r="E101" s="84"/>
    </row>
    <row r="102">
      <c r="E102" s="84"/>
    </row>
    <row r="103">
      <c r="E103" s="84"/>
    </row>
    <row r="104">
      <c r="E104" s="84"/>
    </row>
    <row r="105">
      <c r="E105" s="84"/>
    </row>
    <row r="106">
      <c r="E106" s="84"/>
    </row>
    <row r="107">
      <c r="E107" s="84"/>
    </row>
    <row r="108">
      <c r="E108" s="84"/>
    </row>
    <row r="109">
      <c r="E109" s="84"/>
    </row>
    <row r="110">
      <c r="E110" s="84"/>
    </row>
    <row r="111">
      <c r="E111" s="84"/>
    </row>
    <row r="112">
      <c r="E112" s="84"/>
    </row>
    <row r="113">
      <c r="E113" s="84"/>
    </row>
    <row r="114">
      <c r="E114" s="84"/>
    </row>
    <row r="115">
      <c r="E115" s="84"/>
    </row>
    <row r="116">
      <c r="E116" s="84"/>
    </row>
    <row r="117">
      <c r="E117" s="84"/>
    </row>
    <row r="118">
      <c r="E118" s="84"/>
    </row>
    <row r="119">
      <c r="E119" s="84"/>
    </row>
    <row r="120">
      <c r="E120" s="84"/>
    </row>
    <row r="121">
      <c r="E121" s="84"/>
    </row>
    <row r="122">
      <c r="E122" s="84"/>
    </row>
    <row r="123">
      <c r="E123" s="84"/>
    </row>
    <row r="124">
      <c r="E124" s="84"/>
    </row>
    <row r="125">
      <c r="E125" s="84"/>
    </row>
    <row r="126">
      <c r="E126" s="84"/>
    </row>
    <row r="127">
      <c r="E127" s="84"/>
    </row>
    <row r="128">
      <c r="E128" s="84"/>
    </row>
    <row r="129">
      <c r="E129" s="84"/>
    </row>
    <row r="130">
      <c r="E130" s="84"/>
    </row>
    <row r="131">
      <c r="E131" s="84"/>
    </row>
    <row r="132">
      <c r="E132" s="84"/>
    </row>
    <row r="133">
      <c r="E133" s="84"/>
    </row>
    <row r="134">
      <c r="E134" s="84"/>
    </row>
    <row r="135">
      <c r="E135" s="84"/>
    </row>
    <row r="136">
      <c r="E136" s="84"/>
    </row>
    <row r="137">
      <c r="E137" s="84"/>
    </row>
    <row r="138">
      <c r="E138" s="84"/>
    </row>
    <row r="139">
      <c r="E139" s="84"/>
    </row>
    <row r="140">
      <c r="E140" s="84"/>
    </row>
    <row r="141">
      <c r="E141" s="84"/>
    </row>
    <row r="142">
      <c r="E142" s="84"/>
    </row>
    <row r="143">
      <c r="E143" s="84"/>
    </row>
    <row r="144">
      <c r="E144" s="84"/>
    </row>
    <row r="145">
      <c r="E145" s="84"/>
    </row>
    <row r="146">
      <c r="E146" s="84"/>
    </row>
    <row r="147">
      <c r="E147" s="84"/>
    </row>
    <row r="148">
      <c r="E148" s="84"/>
    </row>
    <row r="149">
      <c r="E149" s="84"/>
    </row>
    <row r="150">
      <c r="E150" s="84"/>
    </row>
    <row r="151">
      <c r="E151" s="84"/>
    </row>
    <row r="152">
      <c r="E152" s="84"/>
    </row>
    <row r="153">
      <c r="E153" s="84"/>
    </row>
    <row r="154">
      <c r="E154" s="84"/>
    </row>
    <row r="155">
      <c r="E155" s="84"/>
    </row>
    <row r="156">
      <c r="E156" s="84"/>
    </row>
    <row r="157">
      <c r="E157" s="84"/>
    </row>
    <row r="158">
      <c r="E158" s="84"/>
    </row>
    <row r="159">
      <c r="E159" s="84"/>
    </row>
    <row r="160">
      <c r="E160" s="84"/>
    </row>
    <row r="161">
      <c r="E161" s="84"/>
    </row>
    <row r="162">
      <c r="E162" s="84"/>
    </row>
    <row r="163">
      <c r="E163" s="84"/>
    </row>
    <row r="164">
      <c r="E164" s="84"/>
    </row>
    <row r="165">
      <c r="E165" s="84"/>
    </row>
    <row r="166">
      <c r="E166" s="84"/>
    </row>
    <row r="167">
      <c r="E167" s="84"/>
    </row>
    <row r="168">
      <c r="E168" s="84"/>
    </row>
    <row r="169">
      <c r="E169" s="84"/>
    </row>
    <row r="170">
      <c r="E170" s="84"/>
    </row>
    <row r="171">
      <c r="E171" s="84"/>
    </row>
    <row r="172">
      <c r="E172" s="84"/>
    </row>
    <row r="173">
      <c r="E173" s="84"/>
    </row>
    <row r="174">
      <c r="E174" s="84"/>
    </row>
    <row r="175">
      <c r="E175" s="84"/>
    </row>
    <row r="176">
      <c r="E176" s="84"/>
    </row>
    <row r="177">
      <c r="E177" s="84"/>
    </row>
    <row r="178">
      <c r="E178" s="84"/>
    </row>
    <row r="179">
      <c r="E179" s="84"/>
    </row>
    <row r="180">
      <c r="E180" s="84"/>
    </row>
    <row r="181">
      <c r="E181" s="84"/>
    </row>
    <row r="182">
      <c r="E182" s="84"/>
    </row>
    <row r="183">
      <c r="E183" s="84"/>
    </row>
    <row r="184">
      <c r="E184" s="84"/>
    </row>
    <row r="185">
      <c r="E185" s="84"/>
    </row>
    <row r="186">
      <c r="E186" s="84"/>
    </row>
    <row r="187">
      <c r="E187" s="84"/>
    </row>
    <row r="188">
      <c r="E188" s="84"/>
    </row>
    <row r="189">
      <c r="E189" s="84"/>
    </row>
    <row r="190">
      <c r="E190" s="84"/>
    </row>
    <row r="191">
      <c r="E191" s="84"/>
    </row>
    <row r="192">
      <c r="E192" s="84"/>
    </row>
    <row r="193">
      <c r="E193" s="84"/>
    </row>
    <row r="194">
      <c r="E194" s="84"/>
    </row>
    <row r="195">
      <c r="E195" s="84"/>
    </row>
    <row r="196">
      <c r="E196" s="84"/>
    </row>
    <row r="197">
      <c r="E197" s="84"/>
    </row>
    <row r="198">
      <c r="E198" s="84"/>
    </row>
    <row r="199">
      <c r="E199" s="84"/>
    </row>
    <row r="200">
      <c r="E200" s="84"/>
    </row>
    <row r="201">
      <c r="E201" s="84"/>
    </row>
    <row r="202">
      <c r="E202" s="84"/>
    </row>
    <row r="203">
      <c r="E203" s="84"/>
    </row>
    <row r="204">
      <c r="E204" s="84"/>
    </row>
    <row r="205">
      <c r="E205" s="84"/>
    </row>
    <row r="206">
      <c r="E206" s="84"/>
    </row>
    <row r="207">
      <c r="E207" s="84"/>
    </row>
    <row r="208">
      <c r="E208" s="84"/>
    </row>
    <row r="209">
      <c r="E209" s="84"/>
    </row>
    <row r="210">
      <c r="E210" s="84"/>
    </row>
    <row r="211">
      <c r="E211" s="84"/>
    </row>
    <row r="212">
      <c r="E212" s="84"/>
    </row>
    <row r="213">
      <c r="E213" s="84"/>
    </row>
    <row r="214">
      <c r="E214" s="84"/>
    </row>
    <row r="215">
      <c r="E215" s="84"/>
    </row>
    <row r="216">
      <c r="E216" s="84"/>
    </row>
    <row r="217">
      <c r="E217" s="84"/>
    </row>
    <row r="218">
      <c r="E218" s="84"/>
    </row>
    <row r="219">
      <c r="E219" s="84"/>
    </row>
    <row r="220">
      <c r="E220" s="84"/>
    </row>
    <row r="221">
      <c r="E221" s="84"/>
    </row>
    <row r="222">
      <c r="E222" s="84"/>
    </row>
    <row r="223">
      <c r="E223" s="84"/>
    </row>
    <row r="224">
      <c r="E224" s="84"/>
    </row>
    <row r="225">
      <c r="E225" s="84"/>
    </row>
    <row r="226">
      <c r="E226" s="84"/>
    </row>
    <row r="227">
      <c r="E227" s="84"/>
    </row>
    <row r="228">
      <c r="E228" s="84"/>
    </row>
    <row r="229">
      <c r="E229" s="84"/>
    </row>
    <row r="230">
      <c r="E230" s="84"/>
    </row>
    <row r="231">
      <c r="E231" s="84"/>
    </row>
    <row r="232">
      <c r="E232" s="84"/>
    </row>
    <row r="233">
      <c r="E233" s="84"/>
    </row>
    <row r="234">
      <c r="E234" s="84"/>
    </row>
    <row r="235">
      <c r="E235" s="84"/>
    </row>
    <row r="236">
      <c r="E236" s="84"/>
    </row>
    <row r="237">
      <c r="E237" s="84"/>
    </row>
    <row r="238">
      <c r="E238" s="84"/>
    </row>
    <row r="239">
      <c r="E239" s="84"/>
    </row>
    <row r="240">
      <c r="E240" s="84"/>
    </row>
    <row r="241">
      <c r="E241" s="84"/>
    </row>
    <row r="242">
      <c r="E242" s="84"/>
    </row>
    <row r="243">
      <c r="E243" s="84"/>
    </row>
    <row r="244">
      <c r="E244" s="84"/>
    </row>
    <row r="245">
      <c r="E245" s="84"/>
    </row>
    <row r="246">
      <c r="E246" s="84"/>
    </row>
    <row r="247">
      <c r="E247" s="84"/>
    </row>
    <row r="248">
      <c r="E248" s="84"/>
    </row>
    <row r="249">
      <c r="E249" s="84"/>
    </row>
    <row r="250">
      <c r="E250" s="84"/>
    </row>
    <row r="251">
      <c r="E251" s="84"/>
    </row>
    <row r="252">
      <c r="E252" s="84"/>
    </row>
    <row r="253">
      <c r="E253" s="84"/>
    </row>
    <row r="254">
      <c r="E254" s="84"/>
    </row>
    <row r="255">
      <c r="E255" s="84"/>
    </row>
    <row r="256">
      <c r="E256" s="84"/>
    </row>
    <row r="257">
      <c r="E257" s="84"/>
    </row>
    <row r="258">
      <c r="E258" s="84"/>
    </row>
    <row r="259">
      <c r="E259" s="84"/>
    </row>
    <row r="260">
      <c r="E260" s="84"/>
    </row>
    <row r="261">
      <c r="E261" s="84"/>
    </row>
    <row r="262">
      <c r="E262" s="84"/>
    </row>
    <row r="263">
      <c r="E263" s="84"/>
    </row>
    <row r="264">
      <c r="E264" s="84"/>
    </row>
    <row r="265">
      <c r="E265" s="84"/>
    </row>
    <row r="266">
      <c r="E266" s="84"/>
    </row>
    <row r="267">
      <c r="E267" s="84"/>
    </row>
    <row r="268">
      <c r="E268" s="84"/>
    </row>
    <row r="269">
      <c r="E269" s="84"/>
    </row>
    <row r="270">
      <c r="E270" s="84"/>
    </row>
    <row r="271">
      <c r="E271" s="84"/>
    </row>
    <row r="272">
      <c r="E272" s="84"/>
    </row>
    <row r="273">
      <c r="E273" s="84"/>
    </row>
    <row r="274">
      <c r="E274" s="84"/>
    </row>
    <row r="275">
      <c r="E275" s="84"/>
    </row>
    <row r="276">
      <c r="E276" s="84"/>
    </row>
    <row r="277">
      <c r="E277" s="84"/>
    </row>
    <row r="278">
      <c r="E278" s="84"/>
    </row>
    <row r="279">
      <c r="E279" s="84"/>
    </row>
    <row r="280">
      <c r="E280" s="84"/>
    </row>
    <row r="281">
      <c r="E281" s="84"/>
    </row>
    <row r="282">
      <c r="E282" s="84"/>
    </row>
    <row r="283">
      <c r="E283" s="84"/>
    </row>
    <row r="284">
      <c r="E284" s="84"/>
    </row>
    <row r="285">
      <c r="E285" s="84"/>
    </row>
    <row r="286">
      <c r="E286" s="84"/>
    </row>
    <row r="287">
      <c r="E287" s="84"/>
    </row>
    <row r="288">
      <c r="E288" s="84"/>
    </row>
    <row r="289">
      <c r="E289" s="84"/>
    </row>
    <row r="290">
      <c r="E290" s="84"/>
    </row>
    <row r="291">
      <c r="E291" s="84"/>
    </row>
    <row r="292">
      <c r="E292" s="84"/>
    </row>
    <row r="293">
      <c r="E293" s="84"/>
    </row>
    <row r="294">
      <c r="E294" s="84"/>
    </row>
    <row r="295">
      <c r="E295" s="84"/>
    </row>
    <row r="296">
      <c r="E296" s="84"/>
    </row>
    <row r="297">
      <c r="E297" s="84"/>
    </row>
    <row r="298">
      <c r="E298" s="84"/>
    </row>
    <row r="299">
      <c r="E299" s="84"/>
    </row>
    <row r="300">
      <c r="E300" s="84"/>
    </row>
    <row r="301">
      <c r="E301" s="84"/>
    </row>
    <row r="302">
      <c r="E302" s="84"/>
    </row>
    <row r="303">
      <c r="E303" s="84"/>
    </row>
    <row r="304">
      <c r="E304" s="84"/>
    </row>
    <row r="305">
      <c r="E305" s="84"/>
    </row>
    <row r="306">
      <c r="E306" s="84"/>
    </row>
    <row r="307">
      <c r="E307" s="84"/>
    </row>
    <row r="308">
      <c r="E308" s="84"/>
    </row>
    <row r="309">
      <c r="E309" s="84"/>
    </row>
    <row r="310">
      <c r="E310" s="84"/>
    </row>
    <row r="311">
      <c r="E311" s="84"/>
    </row>
    <row r="312">
      <c r="E312" s="84"/>
    </row>
    <row r="313">
      <c r="E313" s="84"/>
    </row>
    <row r="314">
      <c r="E314" s="84"/>
    </row>
    <row r="315">
      <c r="E315" s="84"/>
    </row>
    <row r="316">
      <c r="E316" s="84"/>
    </row>
    <row r="317">
      <c r="E317" s="84"/>
    </row>
    <row r="318">
      <c r="E318" s="84"/>
    </row>
    <row r="319">
      <c r="E319" s="84"/>
    </row>
    <row r="320">
      <c r="E320" s="84"/>
    </row>
    <row r="321">
      <c r="E321" s="84"/>
    </row>
    <row r="322">
      <c r="E322" s="84"/>
    </row>
    <row r="323">
      <c r="E323" s="84"/>
    </row>
    <row r="324">
      <c r="E324" s="84"/>
    </row>
    <row r="325">
      <c r="E325" s="84"/>
    </row>
    <row r="326">
      <c r="E326" s="84"/>
    </row>
    <row r="327">
      <c r="E327" s="84"/>
    </row>
    <row r="328">
      <c r="E328" s="84"/>
    </row>
    <row r="329">
      <c r="E329" s="84"/>
    </row>
    <row r="330">
      <c r="E330" s="84"/>
    </row>
    <row r="331">
      <c r="E331" s="84"/>
    </row>
    <row r="332">
      <c r="E332" s="84"/>
    </row>
    <row r="333">
      <c r="E333" s="84"/>
    </row>
    <row r="334">
      <c r="E334" s="84"/>
    </row>
    <row r="335">
      <c r="E335" s="84"/>
    </row>
    <row r="336">
      <c r="E336" s="84"/>
    </row>
    <row r="337">
      <c r="E337" s="84"/>
    </row>
    <row r="338">
      <c r="E338" s="84"/>
    </row>
    <row r="339">
      <c r="E339" s="84"/>
    </row>
    <row r="340">
      <c r="E340" s="84"/>
    </row>
    <row r="341">
      <c r="E341" s="84"/>
    </row>
    <row r="342">
      <c r="E342" s="84"/>
    </row>
    <row r="343">
      <c r="E343" s="84"/>
    </row>
    <row r="344">
      <c r="E344" s="84"/>
    </row>
    <row r="345">
      <c r="E345" s="84"/>
    </row>
    <row r="346">
      <c r="E346" s="84"/>
    </row>
    <row r="347">
      <c r="E347" s="84"/>
    </row>
    <row r="348">
      <c r="E348" s="84"/>
    </row>
    <row r="349">
      <c r="E349" s="84"/>
    </row>
    <row r="350">
      <c r="E350" s="84"/>
    </row>
    <row r="351">
      <c r="E351" s="84"/>
    </row>
    <row r="352">
      <c r="E352" s="84"/>
    </row>
    <row r="353">
      <c r="E353" s="84"/>
    </row>
    <row r="354">
      <c r="E354" s="84"/>
    </row>
    <row r="355">
      <c r="E355" s="84"/>
    </row>
    <row r="356">
      <c r="E356" s="84"/>
    </row>
    <row r="357">
      <c r="E357" s="84"/>
    </row>
    <row r="358">
      <c r="E358" s="84"/>
    </row>
    <row r="359">
      <c r="E359" s="84"/>
    </row>
    <row r="360">
      <c r="E360" s="84"/>
    </row>
    <row r="361">
      <c r="E361" s="84"/>
    </row>
    <row r="362">
      <c r="E362" s="84"/>
    </row>
    <row r="363">
      <c r="E363" s="84"/>
    </row>
    <row r="364">
      <c r="E364" s="84"/>
    </row>
    <row r="365">
      <c r="E365" s="84"/>
    </row>
    <row r="366">
      <c r="E366" s="84"/>
    </row>
    <row r="367">
      <c r="E367" s="84"/>
    </row>
    <row r="368">
      <c r="E368" s="84"/>
    </row>
    <row r="369">
      <c r="E369" s="84"/>
    </row>
    <row r="370">
      <c r="E370" s="84"/>
    </row>
    <row r="371">
      <c r="E371" s="84"/>
    </row>
    <row r="372">
      <c r="E372" s="84"/>
    </row>
    <row r="373">
      <c r="E373" s="84"/>
    </row>
    <row r="374">
      <c r="E374" s="84"/>
    </row>
    <row r="375">
      <c r="E375" s="84"/>
    </row>
    <row r="376">
      <c r="E376" s="84"/>
    </row>
    <row r="377">
      <c r="E377" s="84"/>
    </row>
    <row r="378">
      <c r="E378" s="84"/>
    </row>
    <row r="379">
      <c r="E379" s="84"/>
    </row>
    <row r="380">
      <c r="E380" s="84"/>
    </row>
    <row r="381">
      <c r="E381" s="84"/>
    </row>
    <row r="382">
      <c r="E382" s="84"/>
    </row>
    <row r="383">
      <c r="E383" s="84"/>
    </row>
    <row r="384">
      <c r="E384" s="84"/>
    </row>
    <row r="385">
      <c r="E385" s="84"/>
    </row>
    <row r="386">
      <c r="E386" s="84"/>
    </row>
    <row r="387">
      <c r="E387" s="84"/>
    </row>
    <row r="388">
      <c r="E388" s="84"/>
    </row>
    <row r="389">
      <c r="E389" s="84"/>
    </row>
    <row r="390">
      <c r="E390" s="84"/>
    </row>
    <row r="391">
      <c r="E391" s="84"/>
    </row>
    <row r="392">
      <c r="E392" s="84"/>
    </row>
    <row r="393">
      <c r="E393" s="84"/>
    </row>
    <row r="394">
      <c r="E394" s="84"/>
    </row>
    <row r="395">
      <c r="E395" s="84"/>
    </row>
    <row r="396">
      <c r="E396" s="84"/>
    </row>
    <row r="397">
      <c r="E397" s="84"/>
    </row>
    <row r="398">
      <c r="E398" s="84"/>
    </row>
    <row r="399">
      <c r="E399" s="84"/>
    </row>
    <row r="400">
      <c r="E400" s="84"/>
    </row>
    <row r="401">
      <c r="E401" s="84"/>
    </row>
    <row r="402">
      <c r="E402" s="84"/>
    </row>
    <row r="403">
      <c r="E403" s="84"/>
    </row>
    <row r="404">
      <c r="E404" s="84"/>
    </row>
    <row r="405">
      <c r="E405" s="84"/>
    </row>
    <row r="406">
      <c r="E406" s="84"/>
    </row>
    <row r="407">
      <c r="E407" s="84"/>
    </row>
    <row r="408">
      <c r="E408" s="84"/>
    </row>
    <row r="409">
      <c r="E409" s="84"/>
    </row>
    <row r="410">
      <c r="E410" s="84"/>
    </row>
    <row r="411">
      <c r="E411" s="84"/>
    </row>
    <row r="412">
      <c r="E412" s="84"/>
    </row>
    <row r="413">
      <c r="E413" s="84"/>
    </row>
    <row r="414">
      <c r="E414" s="84"/>
    </row>
    <row r="415">
      <c r="E415" s="84"/>
    </row>
    <row r="416">
      <c r="E416" s="84"/>
    </row>
    <row r="417">
      <c r="E417" s="84"/>
    </row>
    <row r="418">
      <c r="E418" s="84"/>
    </row>
    <row r="419">
      <c r="E419" s="84"/>
    </row>
    <row r="420">
      <c r="E420" s="84"/>
    </row>
    <row r="421">
      <c r="E421" s="84"/>
    </row>
    <row r="422">
      <c r="E422" s="84"/>
    </row>
    <row r="423">
      <c r="E423" s="84"/>
    </row>
    <row r="424">
      <c r="E424" s="84"/>
    </row>
    <row r="425">
      <c r="E425" s="84"/>
    </row>
    <row r="426">
      <c r="E426" s="84"/>
    </row>
    <row r="427">
      <c r="E427" s="84"/>
    </row>
    <row r="428">
      <c r="E428" s="84"/>
    </row>
    <row r="429">
      <c r="E429" s="84"/>
    </row>
    <row r="430">
      <c r="E430" s="84"/>
    </row>
    <row r="431">
      <c r="E431" s="84"/>
    </row>
    <row r="432">
      <c r="E432" s="84"/>
    </row>
    <row r="433">
      <c r="E433" s="84"/>
    </row>
    <row r="434">
      <c r="E434" s="84"/>
    </row>
    <row r="435">
      <c r="E435" s="84"/>
    </row>
    <row r="436">
      <c r="E436" s="84"/>
    </row>
    <row r="437">
      <c r="E437" s="84"/>
    </row>
    <row r="438">
      <c r="E438" s="84"/>
    </row>
    <row r="439">
      <c r="E439" s="84"/>
    </row>
    <row r="440">
      <c r="E440" s="84"/>
    </row>
    <row r="441">
      <c r="E441" s="84"/>
    </row>
    <row r="442">
      <c r="E442" s="84"/>
    </row>
    <row r="443">
      <c r="E443" s="84"/>
    </row>
    <row r="444">
      <c r="E444" s="84"/>
    </row>
    <row r="445">
      <c r="E445" s="84"/>
    </row>
    <row r="446">
      <c r="E446" s="84"/>
    </row>
    <row r="447">
      <c r="E447" s="84"/>
    </row>
    <row r="448">
      <c r="E448" s="84"/>
    </row>
    <row r="449">
      <c r="E449" s="84"/>
    </row>
    <row r="450">
      <c r="E450" s="84"/>
    </row>
    <row r="451">
      <c r="E451" s="84"/>
    </row>
    <row r="452">
      <c r="E452" s="84"/>
    </row>
    <row r="453">
      <c r="E453" s="84"/>
    </row>
    <row r="454">
      <c r="E454" s="84"/>
    </row>
    <row r="455">
      <c r="E455" s="84"/>
    </row>
    <row r="456">
      <c r="E456" s="84"/>
    </row>
    <row r="457">
      <c r="E457" s="84"/>
    </row>
    <row r="458">
      <c r="E458" s="84"/>
    </row>
    <row r="459">
      <c r="E459" s="84"/>
    </row>
    <row r="460">
      <c r="E460" s="84"/>
    </row>
    <row r="461">
      <c r="E461" s="84"/>
    </row>
    <row r="462">
      <c r="E462" s="84"/>
    </row>
    <row r="463">
      <c r="E463" s="84"/>
    </row>
    <row r="464">
      <c r="E464" s="84"/>
    </row>
    <row r="465">
      <c r="E465" s="84"/>
    </row>
    <row r="466">
      <c r="E466" s="84"/>
    </row>
    <row r="467">
      <c r="E467" s="84"/>
    </row>
    <row r="468">
      <c r="E468" s="84"/>
    </row>
    <row r="469">
      <c r="E469" s="84"/>
    </row>
    <row r="470">
      <c r="E470" s="84"/>
    </row>
    <row r="471">
      <c r="E471" s="84"/>
    </row>
    <row r="472">
      <c r="E472" s="84"/>
    </row>
    <row r="473">
      <c r="E473" s="84"/>
    </row>
    <row r="474">
      <c r="E474" s="84"/>
    </row>
    <row r="475">
      <c r="E475" s="84"/>
    </row>
    <row r="476">
      <c r="E476" s="84"/>
    </row>
    <row r="477">
      <c r="E477" s="84"/>
    </row>
    <row r="478">
      <c r="E478" s="84"/>
    </row>
    <row r="479">
      <c r="E479" s="84"/>
    </row>
    <row r="480">
      <c r="E480" s="84"/>
    </row>
    <row r="481">
      <c r="E481" s="84"/>
    </row>
    <row r="482">
      <c r="E482" s="84"/>
    </row>
    <row r="483">
      <c r="E483" s="84"/>
    </row>
    <row r="484">
      <c r="E484" s="84"/>
    </row>
    <row r="485">
      <c r="E485" s="84"/>
    </row>
    <row r="486">
      <c r="E486" s="84"/>
    </row>
    <row r="487">
      <c r="E487" s="84"/>
    </row>
    <row r="488">
      <c r="E488" s="84"/>
    </row>
    <row r="489">
      <c r="E489" s="84"/>
    </row>
    <row r="490">
      <c r="E490" s="84"/>
    </row>
    <row r="491">
      <c r="E491" s="84"/>
    </row>
    <row r="492">
      <c r="E492" s="84"/>
    </row>
    <row r="493">
      <c r="E493" s="84"/>
    </row>
    <row r="494">
      <c r="E494" s="84"/>
    </row>
    <row r="495">
      <c r="E495" s="84"/>
    </row>
    <row r="496">
      <c r="E496" s="84"/>
    </row>
    <row r="497">
      <c r="E497" s="84"/>
    </row>
    <row r="498">
      <c r="E498" s="84"/>
    </row>
    <row r="499">
      <c r="E499" s="84"/>
    </row>
    <row r="500">
      <c r="E500" s="84"/>
    </row>
    <row r="501">
      <c r="E501" s="84"/>
    </row>
    <row r="502">
      <c r="E502" s="84"/>
    </row>
    <row r="503">
      <c r="E503" s="84"/>
    </row>
    <row r="504">
      <c r="E504" s="84"/>
    </row>
    <row r="505">
      <c r="E505" s="84"/>
    </row>
    <row r="506">
      <c r="E506" s="84"/>
    </row>
    <row r="507">
      <c r="E507" s="84"/>
    </row>
    <row r="508">
      <c r="E508" s="84"/>
    </row>
    <row r="509">
      <c r="E509" s="84"/>
    </row>
    <row r="510">
      <c r="E510" s="84"/>
    </row>
    <row r="511">
      <c r="E511" s="84"/>
    </row>
    <row r="512">
      <c r="E512" s="84"/>
    </row>
    <row r="513">
      <c r="E513" s="84"/>
    </row>
    <row r="514">
      <c r="E514" s="84"/>
    </row>
    <row r="515">
      <c r="E515" s="84"/>
    </row>
    <row r="516">
      <c r="E516" s="84"/>
    </row>
    <row r="517">
      <c r="E517" s="84"/>
    </row>
    <row r="518">
      <c r="E518" s="84"/>
    </row>
    <row r="519">
      <c r="E519" s="84"/>
    </row>
    <row r="520">
      <c r="E520" s="84"/>
    </row>
    <row r="521">
      <c r="E521" s="84"/>
    </row>
    <row r="522">
      <c r="E522" s="84"/>
    </row>
    <row r="523">
      <c r="E523" s="84"/>
    </row>
    <row r="524">
      <c r="E524" s="84"/>
    </row>
    <row r="525">
      <c r="E525" s="84"/>
    </row>
    <row r="526">
      <c r="E526" s="84"/>
    </row>
    <row r="527">
      <c r="E527" s="84"/>
    </row>
    <row r="528">
      <c r="E528" s="84"/>
    </row>
    <row r="529">
      <c r="E529" s="84"/>
    </row>
    <row r="530">
      <c r="E530" s="84"/>
    </row>
    <row r="531">
      <c r="E531" s="84"/>
    </row>
    <row r="532">
      <c r="E532" s="84"/>
    </row>
    <row r="533">
      <c r="E533" s="84"/>
    </row>
    <row r="534">
      <c r="E534" s="84"/>
    </row>
    <row r="535">
      <c r="E535" s="84"/>
    </row>
    <row r="536">
      <c r="E536" s="84"/>
    </row>
    <row r="537">
      <c r="E537" s="84"/>
    </row>
    <row r="538">
      <c r="E538" s="84"/>
    </row>
    <row r="539">
      <c r="E539" s="84"/>
    </row>
    <row r="540">
      <c r="E540" s="84"/>
    </row>
    <row r="541">
      <c r="E541" s="84"/>
    </row>
    <row r="542">
      <c r="E542" s="84"/>
    </row>
    <row r="543">
      <c r="E543" s="84"/>
    </row>
    <row r="544">
      <c r="E544" s="84"/>
    </row>
    <row r="545">
      <c r="E545" s="84"/>
    </row>
    <row r="546">
      <c r="E546" s="84"/>
    </row>
    <row r="547">
      <c r="E547" s="84"/>
    </row>
    <row r="548">
      <c r="E548" s="84"/>
    </row>
    <row r="549">
      <c r="E549" s="84"/>
    </row>
    <row r="550">
      <c r="E550" s="84"/>
    </row>
    <row r="551">
      <c r="E551" s="84"/>
    </row>
    <row r="552">
      <c r="E552" s="84"/>
    </row>
    <row r="553">
      <c r="E553" s="84"/>
    </row>
    <row r="554">
      <c r="E554" s="84"/>
    </row>
    <row r="555">
      <c r="E555" s="84"/>
    </row>
    <row r="556">
      <c r="E556" s="84"/>
    </row>
    <row r="557">
      <c r="E557" s="84"/>
    </row>
    <row r="558">
      <c r="E558" s="84"/>
    </row>
    <row r="559">
      <c r="E559" s="84"/>
    </row>
    <row r="560">
      <c r="E560" s="84"/>
    </row>
    <row r="561">
      <c r="E561" s="84"/>
    </row>
    <row r="562">
      <c r="E562" s="84"/>
    </row>
    <row r="563">
      <c r="E563" s="84"/>
    </row>
    <row r="564">
      <c r="E564" s="84"/>
    </row>
    <row r="565">
      <c r="E565" s="84"/>
    </row>
    <row r="566">
      <c r="E566" s="84"/>
    </row>
    <row r="567">
      <c r="E567" s="84"/>
    </row>
    <row r="568">
      <c r="E568" s="84"/>
    </row>
    <row r="569">
      <c r="E569" s="84"/>
    </row>
    <row r="570">
      <c r="E570" s="84"/>
    </row>
    <row r="571">
      <c r="E571" s="84"/>
    </row>
    <row r="572">
      <c r="E572" s="84"/>
    </row>
    <row r="573">
      <c r="E573" s="84"/>
    </row>
    <row r="574">
      <c r="E574" s="84"/>
    </row>
    <row r="575">
      <c r="E575" s="84"/>
    </row>
    <row r="576">
      <c r="E576" s="84"/>
    </row>
    <row r="577">
      <c r="E577" s="84"/>
    </row>
    <row r="578">
      <c r="E578" s="84"/>
    </row>
    <row r="579">
      <c r="E579" s="84"/>
    </row>
    <row r="580">
      <c r="E580" s="84"/>
    </row>
    <row r="581">
      <c r="E581" s="84"/>
    </row>
    <row r="582">
      <c r="E582" s="84"/>
    </row>
    <row r="583">
      <c r="E583" s="84"/>
    </row>
    <row r="584">
      <c r="E584" s="84"/>
    </row>
    <row r="585">
      <c r="E585" s="84"/>
    </row>
    <row r="586">
      <c r="E586" s="84"/>
    </row>
    <row r="587">
      <c r="E587" s="84"/>
    </row>
    <row r="588">
      <c r="E588" s="84"/>
    </row>
    <row r="589">
      <c r="E589" s="84"/>
    </row>
    <row r="590">
      <c r="E590" s="84"/>
    </row>
    <row r="591">
      <c r="E591" s="84"/>
    </row>
    <row r="592">
      <c r="E592" s="84"/>
    </row>
    <row r="593">
      <c r="E593" s="84"/>
    </row>
    <row r="594">
      <c r="E594" s="84"/>
    </row>
    <row r="595">
      <c r="E595" s="84"/>
    </row>
    <row r="596">
      <c r="E596" s="84"/>
    </row>
    <row r="597">
      <c r="E597" s="84"/>
    </row>
    <row r="598">
      <c r="E598" s="84"/>
    </row>
    <row r="599">
      <c r="E599" s="84"/>
    </row>
    <row r="600">
      <c r="E600" s="84"/>
    </row>
    <row r="601">
      <c r="E601" s="84"/>
    </row>
    <row r="602">
      <c r="E602" s="84"/>
    </row>
    <row r="603">
      <c r="E603" s="84"/>
    </row>
    <row r="604">
      <c r="E604" s="84"/>
    </row>
    <row r="605">
      <c r="E605" s="84"/>
    </row>
    <row r="606">
      <c r="E606" s="84"/>
    </row>
    <row r="607">
      <c r="E607" s="84"/>
    </row>
    <row r="608">
      <c r="E608" s="84"/>
    </row>
    <row r="609">
      <c r="E609" s="84"/>
    </row>
    <row r="610">
      <c r="E610" s="84"/>
    </row>
    <row r="611">
      <c r="E611" s="84"/>
    </row>
    <row r="612">
      <c r="E612" s="84"/>
    </row>
    <row r="613">
      <c r="E613" s="84"/>
    </row>
    <row r="614">
      <c r="E614" s="84"/>
    </row>
    <row r="615">
      <c r="E615" s="84"/>
    </row>
    <row r="616">
      <c r="E616" s="84"/>
    </row>
    <row r="617">
      <c r="E617" s="84"/>
    </row>
    <row r="618">
      <c r="E618" s="84"/>
    </row>
    <row r="619">
      <c r="E619" s="84"/>
    </row>
    <row r="620">
      <c r="E620" s="84"/>
    </row>
    <row r="621">
      <c r="E621" s="84"/>
    </row>
    <row r="622">
      <c r="E622" s="84"/>
    </row>
    <row r="623">
      <c r="E623" s="84"/>
    </row>
    <row r="624">
      <c r="E624" s="84"/>
    </row>
    <row r="625">
      <c r="E625" s="84"/>
    </row>
    <row r="626">
      <c r="E626" s="84"/>
    </row>
    <row r="627">
      <c r="E627" s="84"/>
    </row>
    <row r="628">
      <c r="E628" s="84"/>
    </row>
    <row r="629">
      <c r="E629" s="84"/>
    </row>
    <row r="630">
      <c r="E630" s="84"/>
    </row>
    <row r="631">
      <c r="E631" s="84"/>
    </row>
    <row r="632">
      <c r="E632" s="84"/>
    </row>
    <row r="633">
      <c r="E633" s="84"/>
    </row>
    <row r="634">
      <c r="E634" s="84"/>
    </row>
    <row r="635">
      <c r="E635" s="84"/>
    </row>
    <row r="636">
      <c r="E636" s="84"/>
    </row>
    <row r="637">
      <c r="E637" s="84"/>
    </row>
    <row r="638">
      <c r="E638" s="84"/>
    </row>
    <row r="639">
      <c r="E639" s="84"/>
    </row>
    <row r="640">
      <c r="E640" s="84"/>
    </row>
    <row r="641">
      <c r="E641" s="84"/>
    </row>
    <row r="642">
      <c r="E642" s="84"/>
    </row>
    <row r="643">
      <c r="E643" s="84"/>
    </row>
    <row r="644">
      <c r="E644" s="84"/>
    </row>
    <row r="645">
      <c r="E645" s="84"/>
    </row>
    <row r="646">
      <c r="E646" s="84"/>
    </row>
    <row r="647">
      <c r="E647" s="84"/>
    </row>
    <row r="648">
      <c r="E648" s="84"/>
    </row>
    <row r="649">
      <c r="E649" s="84"/>
    </row>
    <row r="650">
      <c r="E650" s="84"/>
    </row>
    <row r="651">
      <c r="E651" s="84"/>
    </row>
    <row r="652">
      <c r="E652" s="84"/>
    </row>
    <row r="653">
      <c r="E653" s="84"/>
    </row>
    <row r="654">
      <c r="E654" s="84"/>
    </row>
    <row r="655">
      <c r="E655" s="84"/>
    </row>
    <row r="656">
      <c r="E656" s="84"/>
    </row>
    <row r="657">
      <c r="E657" s="84"/>
    </row>
    <row r="658">
      <c r="E658" s="84"/>
    </row>
    <row r="659">
      <c r="E659" s="84"/>
    </row>
    <row r="660">
      <c r="E660" s="84"/>
    </row>
    <row r="661">
      <c r="E661" s="84"/>
    </row>
    <row r="662">
      <c r="E662" s="84"/>
    </row>
    <row r="663">
      <c r="E663" s="84"/>
    </row>
    <row r="664">
      <c r="E664" s="84"/>
    </row>
    <row r="665">
      <c r="E665" s="84"/>
    </row>
    <row r="666">
      <c r="E666" s="84"/>
    </row>
    <row r="667">
      <c r="E667" s="84"/>
    </row>
    <row r="668">
      <c r="E668" s="84"/>
    </row>
    <row r="669">
      <c r="E669" s="84"/>
    </row>
    <row r="670">
      <c r="E670" s="84"/>
    </row>
    <row r="671">
      <c r="E671" s="84"/>
    </row>
    <row r="672">
      <c r="E672" s="84"/>
    </row>
    <row r="673">
      <c r="E673" s="84"/>
    </row>
    <row r="674">
      <c r="E674" s="84"/>
    </row>
    <row r="675">
      <c r="E675" s="84"/>
    </row>
    <row r="676">
      <c r="E676" s="84"/>
    </row>
    <row r="677">
      <c r="E677" s="84"/>
    </row>
    <row r="678">
      <c r="E678" s="84"/>
    </row>
    <row r="679">
      <c r="E679" s="84"/>
    </row>
    <row r="680">
      <c r="E680" s="84"/>
    </row>
    <row r="681">
      <c r="E681" s="84"/>
    </row>
    <row r="682">
      <c r="E682" s="84"/>
    </row>
    <row r="683">
      <c r="E683" s="84"/>
    </row>
    <row r="684">
      <c r="E684" s="84"/>
    </row>
    <row r="685">
      <c r="E685" s="84"/>
    </row>
    <row r="686">
      <c r="E686" s="84"/>
    </row>
    <row r="687">
      <c r="E687" s="84"/>
    </row>
    <row r="688">
      <c r="E688" s="84"/>
    </row>
    <row r="689">
      <c r="E689" s="84"/>
    </row>
    <row r="690">
      <c r="E690" s="84"/>
    </row>
    <row r="691">
      <c r="E691" s="84"/>
    </row>
    <row r="692">
      <c r="E692" s="84"/>
    </row>
    <row r="693">
      <c r="E693" s="84"/>
    </row>
    <row r="694">
      <c r="E694" s="84"/>
    </row>
    <row r="695">
      <c r="E695" s="84"/>
    </row>
    <row r="696">
      <c r="E696" s="84"/>
    </row>
    <row r="697">
      <c r="E697" s="84"/>
    </row>
    <row r="698">
      <c r="E698" s="84"/>
    </row>
    <row r="699">
      <c r="E699" s="84"/>
    </row>
    <row r="700">
      <c r="E700" s="84"/>
    </row>
    <row r="701">
      <c r="E701" s="84"/>
    </row>
    <row r="702">
      <c r="E702" s="84"/>
    </row>
    <row r="703">
      <c r="E703" s="84"/>
    </row>
    <row r="704">
      <c r="E704" s="84"/>
    </row>
    <row r="705">
      <c r="E705" s="84"/>
    </row>
    <row r="706">
      <c r="E706" s="84"/>
    </row>
    <row r="707">
      <c r="E707" s="84"/>
    </row>
    <row r="708">
      <c r="E708" s="84"/>
    </row>
    <row r="709">
      <c r="E709" s="84"/>
    </row>
    <row r="710">
      <c r="E710" s="84"/>
    </row>
    <row r="711">
      <c r="E711" s="84"/>
    </row>
    <row r="712">
      <c r="E712" s="84"/>
    </row>
    <row r="713">
      <c r="E713" s="84"/>
    </row>
    <row r="714">
      <c r="E714" s="84"/>
    </row>
    <row r="715">
      <c r="E715" s="84"/>
    </row>
    <row r="716">
      <c r="E716" s="84"/>
    </row>
    <row r="717">
      <c r="E717" s="84"/>
    </row>
    <row r="718">
      <c r="E718" s="84"/>
    </row>
    <row r="719">
      <c r="E719" s="84"/>
    </row>
    <row r="720">
      <c r="E720" s="84"/>
    </row>
    <row r="721">
      <c r="E721" s="84"/>
    </row>
    <row r="722">
      <c r="E722" s="84"/>
    </row>
    <row r="723">
      <c r="E723" s="84"/>
    </row>
    <row r="724">
      <c r="E724" s="84"/>
    </row>
    <row r="725">
      <c r="E725" s="84"/>
    </row>
    <row r="726">
      <c r="E726" s="84"/>
    </row>
    <row r="727">
      <c r="E727" s="84"/>
    </row>
    <row r="728">
      <c r="E728" s="84"/>
    </row>
    <row r="729">
      <c r="E729" s="84"/>
    </row>
    <row r="730">
      <c r="E730" s="84"/>
    </row>
    <row r="731">
      <c r="E731" s="84"/>
    </row>
    <row r="732">
      <c r="E732" s="84"/>
    </row>
    <row r="733">
      <c r="E733" s="84"/>
    </row>
    <row r="734">
      <c r="E734" s="84"/>
    </row>
    <row r="735">
      <c r="E735" s="84"/>
    </row>
    <row r="736">
      <c r="E736" s="84"/>
    </row>
    <row r="737">
      <c r="E737" s="84"/>
    </row>
    <row r="738">
      <c r="E738" s="84"/>
    </row>
    <row r="739">
      <c r="E739" s="84"/>
    </row>
    <row r="740">
      <c r="E740" s="84"/>
    </row>
    <row r="741">
      <c r="E741" s="84"/>
    </row>
    <row r="742">
      <c r="E742" s="84"/>
    </row>
    <row r="743">
      <c r="E743" s="84"/>
    </row>
    <row r="744">
      <c r="E744" s="84"/>
    </row>
    <row r="745">
      <c r="E745" s="84"/>
    </row>
    <row r="746">
      <c r="E746" s="84"/>
    </row>
    <row r="747">
      <c r="E747" s="84"/>
    </row>
    <row r="748">
      <c r="E748" s="84"/>
    </row>
    <row r="749">
      <c r="E749" s="84"/>
    </row>
    <row r="750">
      <c r="E750" s="84"/>
    </row>
    <row r="751">
      <c r="E751" s="84"/>
    </row>
    <row r="752">
      <c r="E752" s="84"/>
    </row>
    <row r="753">
      <c r="E753" s="84"/>
    </row>
    <row r="754">
      <c r="E754" s="84"/>
    </row>
    <row r="755">
      <c r="E755" s="84"/>
    </row>
    <row r="756">
      <c r="E756" s="84"/>
    </row>
    <row r="757">
      <c r="E757" s="84"/>
    </row>
    <row r="758">
      <c r="E758" s="84"/>
    </row>
    <row r="759">
      <c r="E759" s="84"/>
    </row>
    <row r="760">
      <c r="E760" s="84"/>
    </row>
    <row r="761">
      <c r="E761" s="84"/>
    </row>
    <row r="762">
      <c r="E762" s="84"/>
    </row>
    <row r="763">
      <c r="E763" s="84"/>
    </row>
    <row r="764">
      <c r="E764" s="84"/>
    </row>
    <row r="765">
      <c r="E765" s="84"/>
    </row>
    <row r="766">
      <c r="E766" s="84"/>
    </row>
    <row r="767">
      <c r="E767" s="84"/>
    </row>
    <row r="768">
      <c r="E768" s="84"/>
    </row>
    <row r="769">
      <c r="E769" s="84"/>
    </row>
    <row r="770">
      <c r="E770" s="84"/>
    </row>
    <row r="771">
      <c r="E771" s="84"/>
    </row>
    <row r="772">
      <c r="E772" s="84"/>
    </row>
    <row r="773">
      <c r="E773" s="84"/>
    </row>
    <row r="774">
      <c r="E774" s="84"/>
    </row>
    <row r="775">
      <c r="E775" s="84"/>
    </row>
    <row r="776">
      <c r="E776" s="84"/>
    </row>
    <row r="777">
      <c r="E777" s="84"/>
    </row>
    <row r="778">
      <c r="E778" s="84"/>
    </row>
    <row r="779">
      <c r="E779" s="84"/>
    </row>
    <row r="780">
      <c r="E780" s="84"/>
    </row>
    <row r="781">
      <c r="E781" s="84"/>
    </row>
    <row r="782">
      <c r="E782" s="84"/>
    </row>
    <row r="783">
      <c r="E783" s="84"/>
    </row>
    <row r="784">
      <c r="E784" s="84"/>
    </row>
    <row r="785">
      <c r="E785" s="84"/>
    </row>
    <row r="786">
      <c r="E786" s="84"/>
    </row>
    <row r="787">
      <c r="E787" s="84"/>
    </row>
    <row r="788">
      <c r="E788" s="84"/>
    </row>
    <row r="789">
      <c r="E789" s="84"/>
    </row>
    <row r="790">
      <c r="E790" s="84"/>
    </row>
    <row r="791">
      <c r="E791" s="84"/>
    </row>
    <row r="792">
      <c r="E792" s="84"/>
    </row>
    <row r="793">
      <c r="E793" s="84"/>
    </row>
    <row r="794">
      <c r="E794" s="84"/>
    </row>
    <row r="795">
      <c r="E795" s="84"/>
    </row>
    <row r="796">
      <c r="E796" s="84"/>
    </row>
    <row r="797">
      <c r="E797" s="84"/>
    </row>
    <row r="798">
      <c r="E798" s="84"/>
    </row>
    <row r="799">
      <c r="E799" s="84"/>
    </row>
    <row r="800">
      <c r="E800" s="84"/>
    </row>
    <row r="801">
      <c r="E801" s="84"/>
    </row>
    <row r="802">
      <c r="E802" s="84"/>
    </row>
    <row r="803">
      <c r="E803" s="84"/>
    </row>
    <row r="804">
      <c r="E804" s="84"/>
    </row>
    <row r="805">
      <c r="E805" s="84"/>
    </row>
    <row r="806">
      <c r="E806" s="84"/>
    </row>
    <row r="807">
      <c r="E807" s="84"/>
    </row>
    <row r="808">
      <c r="E808" s="84"/>
    </row>
    <row r="809">
      <c r="E809" s="84"/>
    </row>
    <row r="810">
      <c r="E810" s="84"/>
    </row>
    <row r="811">
      <c r="E811" s="84"/>
    </row>
    <row r="812">
      <c r="E812" s="84"/>
    </row>
    <row r="813">
      <c r="E813" s="84"/>
    </row>
    <row r="814">
      <c r="E814" s="84"/>
    </row>
    <row r="815">
      <c r="E815" s="84"/>
    </row>
    <row r="816">
      <c r="E816" s="84"/>
    </row>
    <row r="817">
      <c r="E817" s="84"/>
    </row>
    <row r="818">
      <c r="E818" s="84"/>
    </row>
    <row r="819">
      <c r="E819" s="84"/>
    </row>
    <row r="820">
      <c r="E820" s="84"/>
    </row>
    <row r="821">
      <c r="E821" s="84"/>
    </row>
    <row r="822">
      <c r="E822" s="84"/>
    </row>
    <row r="823">
      <c r="E823" s="84"/>
    </row>
    <row r="824">
      <c r="E824" s="84"/>
    </row>
    <row r="825">
      <c r="E825" s="84"/>
    </row>
    <row r="826">
      <c r="E826" s="84"/>
    </row>
    <row r="827">
      <c r="E827" s="84"/>
    </row>
    <row r="828">
      <c r="E828" s="84"/>
    </row>
    <row r="829">
      <c r="E829" s="84"/>
    </row>
    <row r="830">
      <c r="E830" s="84"/>
    </row>
    <row r="831">
      <c r="E831" s="84"/>
    </row>
    <row r="832">
      <c r="E832" s="84"/>
    </row>
    <row r="833">
      <c r="E833" s="84"/>
    </row>
    <row r="834">
      <c r="E834" s="84"/>
    </row>
    <row r="835">
      <c r="E835" s="84"/>
    </row>
    <row r="836">
      <c r="E836" s="84"/>
    </row>
    <row r="837">
      <c r="E837" s="84"/>
    </row>
    <row r="838">
      <c r="E838" s="84"/>
    </row>
    <row r="839">
      <c r="E839" s="84"/>
    </row>
    <row r="840">
      <c r="E840" s="84"/>
    </row>
    <row r="841">
      <c r="E841" s="84"/>
    </row>
    <row r="842">
      <c r="E842" s="84"/>
    </row>
    <row r="843">
      <c r="E843" s="84"/>
    </row>
    <row r="844">
      <c r="E844" s="84"/>
    </row>
    <row r="845">
      <c r="E845" s="84"/>
    </row>
    <row r="846">
      <c r="E846" s="84"/>
    </row>
    <row r="847">
      <c r="E847" s="84"/>
    </row>
    <row r="848">
      <c r="E848" s="84"/>
    </row>
    <row r="849">
      <c r="E849" s="84"/>
    </row>
    <row r="850">
      <c r="E850" s="84"/>
    </row>
    <row r="851">
      <c r="E851" s="84"/>
    </row>
    <row r="852">
      <c r="E852" s="84"/>
    </row>
    <row r="853">
      <c r="E853" s="84"/>
    </row>
    <row r="854">
      <c r="E854" s="84"/>
    </row>
    <row r="855">
      <c r="E855" s="84"/>
    </row>
    <row r="856">
      <c r="E856" s="84"/>
    </row>
    <row r="857">
      <c r="E857" s="84"/>
    </row>
    <row r="858">
      <c r="E858" s="84"/>
    </row>
    <row r="859">
      <c r="E859" s="84"/>
    </row>
    <row r="860">
      <c r="E860" s="84"/>
    </row>
    <row r="861">
      <c r="E861" s="84"/>
    </row>
    <row r="862">
      <c r="E862" s="84"/>
    </row>
    <row r="863">
      <c r="E863" s="84"/>
    </row>
    <row r="864">
      <c r="E864" s="84"/>
    </row>
    <row r="865">
      <c r="E865" s="84"/>
    </row>
    <row r="866">
      <c r="E866" s="84"/>
    </row>
    <row r="867">
      <c r="E867" s="84"/>
    </row>
    <row r="868">
      <c r="E868" s="84"/>
    </row>
    <row r="869">
      <c r="E869" s="84"/>
    </row>
    <row r="870">
      <c r="E870" s="84"/>
    </row>
    <row r="871">
      <c r="E871" s="84"/>
    </row>
    <row r="872">
      <c r="E872" s="84"/>
    </row>
    <row r="873">
      <c r="E873" s="84"/>
    </row>
    <row r="874">
      <c r="E874" s="84"/>
    </row>
    <row r="875">
      <c r="E875" s="84"/>
    </row>
    <row r="876">
      <c r="E876" s="84"/>
    </row>
    <row r="877">
      <c r="E877" s="84"/>
    </row>
    <row r="878">
      <c r="E878" s="84"/>
    </row>
    <row r="879">
      <c r="E879" s="84"/>
    </row>
    <row r="880">
      <c r="E880" s="84"/>
    </row>
    <row r="881">
      <c r="E881" s="84"/>
    </row>
    <row r="882">
      <c r="E882" s="84"/>
    </row>
    <row r="883">
      <c r="E883" s="84"/>
    </row>
    <row r="884">
      <c r="E884" s="84"/>
    </row>
    <row r="885">
      <c r="E885" s="84"/>
    </row>
    <row r="886">
      <c r="E886" s="84"/>
    </row>
    <row r="887">
      <c r="E887" s="84"/>
    </row>
    <row r="888">
      <c r="E888" s="84"/>
    </row>
    <row r="889">
      <c r="E889" s="84"/>
    </row>
    <row r="890">
      <c r="E890" s="84"/>
    </row>
    <row r="891">
      <c r="E891" s="84"/>
    </row>
    <row r="892">
      <c r="E892" s="84"/>
    </row>
    <row r="893">
      <c r="E893" s="84"/>
    </row>
    <row r="894">
      <c r="E894" s="84"/>
    </row>
    <row r="895">
      <c r="E895" s="84"/>
    </row>
    <row r="896">
      <c r="E896" s="84"/>
    </row>
    <row r="897">
      <c r="E897" s="84"/>
    </row>
    <row r="898">
      <c r="E898" s="84"/>
    </row>
    <row r="899">
      <c r="E899" s="84"/>
    </row>
    <row r="900">
      <c r="E900" s="84"/>
    </row>
    <row r="901">
      <c r="E901" s="84"/>
    </row>
    <row r="902">
      <c r="E902" s="84"/>
    </row>
    <row r="903">
      <c r="E903" s="84"/>
    </row>
    <row r="904">
      <c r="E904" s="84"/>
    </row>
    <row r="905">
      <c r="E905" s="84"/>
    </row>
    <row r="906">
      <c r="E906" s="84"/>
    </row>
    <row r="907">
      <c r="E907" s="84"/>
    </row>
    <row r="908">
      <c r="E908" s="84"/>
    </row>
    <row r="909">
      <c r="E909" s="84"/>
    </row>
    <row r="910">
      <c r="E910" s="84"/>
    </row>
    <row r="911">
      <c r="E911" s="84"/>
    </row>
    <row r="912">
      <c r="E912" s="84"/>
    </row>
    <row r="913">
      <c r="E913" s="84"/>
    </row>
    <row r="914">
      <c r="E914" s="84"/>
    </row>
    <row r="915">
      <c r="E915" s="84"/>
    </row>
    <row r="916">
      <c r="E916" s="84"/>
    </row>
    <row r="917">
      <c r="E917" s="84"/>
    </row>
    <row r="918">
      <c r="E918" s="84"/>
    </row>
    <row r="919">
      <c r="E919" s="84"/>
    </row>
    <row r="920">
      <c r="E920" s="84"/>
    </row>
    <row r="921">
      <c r="E921" s="84"/>
    </row>
    <row r="922">
      <c r="E922" s="84"/>
    </row>
    <row r="923">
      <c r="E923" s="84"/>
    </row>
    <row r="924">
      <c r="E924" s="84"/>
    </row>
    <row r="925">
      <c r="E925" s="84"/>
    </row>
    <row r="926">
      <c r="E926" s="84"/>
    </row>
    <row r="927">
      <c r="E927" s="84"/>
    </row>
    <row r="928">
      <c r="E928" s="84"/>
    </row>
    <row r="929">
      <c r="E929" s="84"/>
    </row>
    <row r="930">
      <c r="E930" s="84"/>
    </row>
    <row r="931">
      <c r="E931" s="84"/>
    </row>
    <row r="932">
      <c r="E932" s="84"/>
    </row>
    <row r="933">
      <c r="E933" s="84"/>
    </row>
    <row r="934">
      <c r="E934" s="84"/>
    </row>
    <row r="935">
      <c r="E935" s="84"/>
    </row>
    <row r="936">
      <c r="E936" s="84"/>
    </row>
    <row r="937">
      <c r="E937" s="84"/>
    </row>
    <row r="938">
      <c r="E938" s="84"/>
    </row>
    <row r="939">
      <c r="E939" s="84"/>
    </row>
    <row r="940">
      <c r="E940" s="84"/>
    </row>
    <row r="941">
      <c r="E941" s="84"/>
    </row>
    <row r="942">
      <c r="E942" s="84"/>
    </row>
    <row r="943">
      <c r="E943" s="84"/>
    </row>
    <row r="944">
      <c r="E944" s="84"/>
    </row>
    <row r="945">
      <c r="E945" s="84"/>
    </row>
    <row r="946">
      <c r="E946" s="84"/>
    </row>
    <row r="947">
      <c r="E947" s="84"/>
    </row>
    <row r="948">
      <c r="E948" s="84"/>
    </row>
    <row r="949">
      <c r="E949" s="84"/>
    </row>
    <row r="950">
      <c r="E950" s="84"/>
    </row>
    <row r="951">
      <c r="E951" s="84"/>
    </row>
    <row r="952">
      <c r="E952" s="84"/>
    </row>
    <row r="953">
      <c r="E953" s="84"/>
    </row>
    <row r="954">
      <c r="E954" s="84"/>
    </row>
    <row r="955">
      <c r="E955" s="84"/>
    </row>
    <row r="956">
      <c r="E956" s="84"/>
    </row>
    <row r="957">
      <c r="E957" s="84"/>
    </row>
    <row r="958">
      <c r="E958" s="84"/>
    </row>
    <row r="959">
      <c r="E959" s="84"/>
    </row>
    <row r="960">
      <c r="E960" s="84"/>
    </row>
    <row r="961">
      <c r="E961" s="84"/>
    </row>
    <row r="962">
      <c r="E962" s="84"/>
    </row>
    <row r="963">
      <c r="E963" s="84"/>
    </row>
    <row r="964">
      <c r="E964" s="84"/>
    </row>
    <row r="965">
      <c r="E965" s="84"/>
    </row>
    <row r="966">
      <c r="E966" s="84"/>
    </row>
    <row r="967">
      <c r="E967" s="84"/>
    </row>
    <row r="968">
      <c r="E968" s="84"/>
    </row>
    <row r="969">
      <c r="E969" s="84"/>
    </row>
    <row r="970">
      <c r="E970" s="84"/>
    </row>
    <row r="971">
      <c r="E971" s="84"/>
    </row>
    <row r="972">
      <c r="E972" s="84"/>
    </row>
    <row r="973">
      <c r="E973" s="84"/>
    </row>
    <row r="974">
      <c r="E974" s="84"/>
    </row>
    <row r="975">
      <c r="E975" s="84"/>
    </row>
    <row r="976">
      <c r="E976" s="84"/>
    </row>
    <row r="977">
      <c r="E977" s="84"/>
    </row>
    <row r="978">
      <c r="E978" s="84"/>
    </row>
    <row r="979">
      <c r="E979" s="84"/>
    </row>
    <row r="980">
      <c r="E980" s="84"/>
    </row>
    <row r="981">
      <c r="E981" s="84"/>
    </row>
    <row r="982">
      <c r="E982" s="84"/>
    </row>
    <row r="983">
      <c r="E983" s="84"/>
    </row>
    <row r="984">
      <c r="E984" s="84"/>
    </row>
    <row r="985">
      <c r="E985" s="84"/>
    </row>
    <row r="986">
      <c r="E986" s="84"/>
    </row>
    <row r="987">
      <c r="E987" s="84"/>
    </row>
    <row r="988">
      <c r="E988" s="84"/>
    </row>
  </sheetData>
  <autoFilter ref="$C$1:$H$988"/>
  <dataValidations>
    <dataValidation type="list" allowBlank="1" sqref="E2">
      <formula1>"1 PARCIAL,2ª PARCIAL,3ª PARCIAL,4ª PARCIAL"</formula1>
    </dataValidation>
    <dataValidation type="list" allowBlank="1" sqref="E3:E109">
      <formula1>"1ª PARCIAL,2ª PARCIAL,3ª PARCIAL,4ª PARCIAL"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75"/>
    <col customWidth="1" min="3" max="3" width="8.38"/>
    <col customWidth="1" min="8" max="8" width="18.88"/>
    <col customWidth="1" min="9" max="9" width="21.38"/>
    <col customWidth="1" min="10" max="10" width="17.38"/>
    <col customWidth="1" min="11" max="11" width="14.38"/>
    <col customWidth="1" min="12" max="12" width="20.88"/>
  </cols>
  <sheetData>
    <row r="1">
      <c r="I1" s="1" t="s">
        <v>31</v>
      </c>
      <c r="J1" s="1" t="s">
        <v>35</v>
      </c>
      <c r="K1" s="1" t="s">
        <v>36</v>
      </c>
      <c r="L1" s="1" t="s">
        <v>37</v>
      </c>
      <c r="M1" s="1" t="s">
        <v>39</v>
      </c>
    </row>
    <row r="2">
      <c r="A2" s="22">
        <v>46027.0</v>
      </c>
      <c r="B2" s="12" t="s">
        <v>41</v>
      </c>
      <c r="C2" s="4" t="s">
        <v>42</v>
      </c>
      <c r="D2" s="1" t="s">
        <v>44</v>
      </c>
      <c r="E2" s="1">
        <v>200.0</v>
      </c>
      <c r="F2" s="4"/>
      <c r="G2" s="1" t="s">
        <v>46</v>
      </c>
      <c r="H2" s="28" t="s">
        <v>47</v>
      </c>
      <c r="I2" s="30">
        <v>175.0</v>
      </c>
      <c r="J2" s="30" t="s">
        <v>49</v>
      </c>
      <c r="K2" s="30" t="s">
        <v>50</v>
      </c>
      <c r="L2" s="30">
        <v>585.0</v>
      </c>
      <c r="M2" s="30">
        <v>390.0</v>
      </c>
    </row>
    <row r="3">
      <c r="A3" s="22">
        <v>46050.0</v>
      </c>
      <c r="B3" s="12" t="s">
        <v>18</v>
      </c>
      <c r="C3" s="4" t="s">
        <v>42</v>
      </c>
      <c r="D3" s="1" t="s">
        <v>44</v>
      </c>
      <c r="E3" s="1">
        <v>200.0</v>
      </c>
      <c r="F3" s="1"/>
      <c r="G3" s="1" t="s">
        <v>46</v>
      </c>
      <c r="H3" s="28" t="s">
        <v>47</v>
      </c>
      <c r="I3" s="30">
        <v>240.0</v>
      </c>
      <c r="J3" s="30" t="s">
        <v>49</v>
      </c>
      <c r="K3" s="30" t="s">
        <v>49</v>
      </c>
      <c r="L3" s="30">
        <v>240.0</v>
      </c>
      <c r="M3" s="36"/>
    </row>
    <row r="4">
      <c r="A4" s="37">
        <v>46052.0</v>
      </c>
      <c r="B4" s="26" t="s">
        <v>10</v>
      </c>
      <c r="C4" s="39" t="s">
        <v>42</v>
      </c>
      <c r="D4" s="41" t="s">
        <v>53</v>
      </c>
      <c r="E4" s="41">
        <v>175.0</v>
      </c>
      <c r="F4" s="41">
        <v>150.0</v>
      </c>
      <c r="G4" s="41" t="s">
        <v>46</v>
      </c>
      <c r="H4" s="28" t="s">
        <v>47</v>
      </c>
      <c r="I4" s="44">
        <v>100.0</v>
      </c>
      <c r="J4" s="44" t="s">
        <v>49</v>
      </c>
      <c r="K4" s="30" t="s">
        <v>49</v>
      </c>
      <c r="L4" s="30">
        <v>150.0</v>
      </c>
      <c r="M4" s="36"/>
    </row>
    <row r="5">
      <c r="A5" s="22">
        <v>46058.0</v>
      </c>
      <c r="B5" s="12" t="s">
        <v>40</v>
      </c>
      <c r="C5" s="4" t="s">
        <v>42</v>
      </c>
      <c r="D5" s="45" t="s">
        <v>44</v>
      </c>
      <c r="E5" s="45">
        <v>200.0</v>
      </c>
      <c r="F5" s="46"/>
      <c r="G5" s="45" t="s">
        <v>46</v>
      </c>
      <c r="H5" s="28" t="s">
        <v>47</v>
      </c>
      <c r="I5" s="45">
        <v>175.0</v>
      </c>
      <c r="J5" s="45" t="s">
        <v>49</v>
      </c>
      <c r="K5" s="47" t="s">
        <v>49</v>
      </c>
      <c r="L5" s="47">
        <v>335.0</v>
      </c>
      <c r="M5" s="49"/>
    </row>
    <row r="6">
      <c r="A6" s="22">
        <v>46059.0</v>
      </c>
      <c r="B6" s="12" t="s">
        <v>10</v>
      </c>
      <c r="C6" s="51" t="s">
        <v>42</v>
      </c>
      <c r="D6" s="53" t="s">
        <v>44</v>
      </c>
      <c r="E6" s="53">
        <v>200.0</v>
      </c>
      <c r="F6" s="51"/>
      <c r="G6" s="53" t="s">
        <v>46</v>
      </c>
      <c r="H6" s="28" t="s">
        <v>47</v>
      </c>
      <c r="I6" s="53">
        <v>315.0</v>
      </c>
      <c r="J6" s="53" t="s">
        <v>49</v>
      </c>
      <c r="K6" s="55" t="s">
        <v>50</v>
      </c>
      <c r="L6" s="55">
        <v>350.0</v>
      </c>
      <c r="M6" s="55">
        <v>0.0</v>
      </c>
    </row>
    <row r="7">
      <c r="A7" s="22">
        <v>46064.0</v>
      </c>
      <c r="B7" s="12" t="s">
        <v>18</v>
      </c>
      <c r="C7" s="4" t="s">
        <v>42</v>
      </c>
      <c r="D7" s="1" t="s">
        <v>44</v>
      </c>
      <c r="E7" s="1">
        <v>200.0</v>
      </c>
      <c r="F7" s="4"/>
      <c r="G7" s="1" t="s">
        <v>46</v>
      </c>
      <c r="H7" s="28" t="s">
        <v>47</v>
      </c>
      <c r="I7" s="30">
        <v>125.0</v>
      </c>
      <c r="J7" s="30" t="s">
        <v>49</v>
      </c>
      <c r="K7" s="30" t="s">
        <v>49</v>
      </c>
      <c r="L7" s="30">
        <v>125.0</v>
      </c>
      <c r="M7" s="57"/>
    </row>
    <row r="8">
      <c r="A8" s="22">
        <v>46085.0</v>
      </c>
      <c r="B8" s="12" t="s">
        <v>18</v>
      </c>
      <c r="C8" s="4" t="s">
        <v>42</v>
      </c>
      <c r="D8" s="1" t="s">
        <v>44</v>
      </c>
      <c r="E8" s="1">
        <v>200.0</v>
      </c>
      <c r="F8" s="1"/>
      <c r="G8" s="1" t="s">
        <v>46</v>
      </c>
      <c r="H8" s="28" t="s">
        <v>47</v>
      </c>
      <c r="I8" s="30">
        <v>1275.0</v>
      </c>
      <c r="J8" s="30" t="s">
        <v>50</v>
      </c>
      <c r="K8" s="30" t="s">
        <v>50</v>
      </c>
      <c r="L8" s="30">
        <v>1275.0</v>
      </c>
      <c r="M8" s="30">
        <v>720.0</v>
      </c>
    </row>
    <row r="9">
      <c r="A9" s="61">
        <v>46093.0</v>
      </c>
      <c r="B9" s="1" t="s">
        <v>58</v>
      </c>
      <c r="C9" s="4" t="s">
        <v>42</v>
      </c>
      <c r="D9" s="1" t="s">
        <v>44</v>
      </c>
      <c r="E9" s="1">
        <v>200.0</v>
      </c>
      <c r="F9" s="4"/>
      <c r="G9" s="1" t="s">
        <v>46</v>
      </c>
      <c r="H9" s="28" t="s">
        <v>47</v>
      </c>
      <c r="I9" s="30">
        <v>1610.0</v>
      </c>
      <c r="J9" s="30" t="s">
        <v>50</v>
      </c>
      <c r="K9" s="30" t="s">
        <v>50</v>
      </c>
      <c r="L9" s="30">
        <v>1610.0</v>
      </c>
      <c r="M9" s="30">
        <v>760.0</v>
      </c>
    </row>
    <row r="10">
      <c r="A10" s="61">
        <v>46108.0</v>
      </c>
      <c r="B10" s="4" t="s">
        <v>10</v>
      </c>
      <c r="C10" s="4" t="s">
        <v>42</v>
      </c>
      <c r="D10" s="1" t="s">
        <v>53</v>
      </c>
      <c r="E10" s="1">
        <v>200.0</v>
      </c>
      <c r="F10" s="4"/>
      <c r="G10" s="1" t="s">
        <v>46</v>
      </c>
      <c r="H10" s="28" t="s">
        <v>47</v>
      </c>
      <c r="I10" s="30">
        <v>100.0</v>
      </c>
      <c r="J10" s="30" t="s">
        <v>49</v>
      </c>
      <c r="K10" s="30" t="s">
        <v>49</v>
      </c>
      <c r="L10" s="30">
        <v>110.0</v>
      </c>
      <c r="M10" s="57"/>
    </row>
    <row r="11">
      <c r="A11" s="61">
        <v>46126.0</v>
      </c>
      <c r="B11" s="4" t="s">
        <v>14</v>
      </c>
      <c r="C11" s="4" t="s">
        <v>42</v>
      </c>
      <c r="D11" s="1" t="s">
        <v>53</v>
      </c>
      <c r="E11" s="1">
        <v>200.0</v>
      </c>
      <c r="F11" s="4"/>
      <c r="G11" s="1" t="s">
        <v>46</v>
      </c>
      <c r="H11" s="28" t="s">
        <v>47</v>
      </c>
      <c r="I11" s="30">
        <v>125.0</v>
      </c>
      <c r="J11" s="30" t="s">
        <v>49</v>
      </c>
      <c r="K11" s="30" t="s">
        <v>50</v>
      </c>
      <c r="L11" s="30">
        <v>340.0</v>
      </c>
      <c r="M11" s="30">
        <v>60.0</v>
      </c>
    </row>
    <row r="12">
      <c r="A12" s="61">
        <v>46132.0</v>
      </c>
      <c r="B12" s="4" t="s">
        <v>41</v>
      </c>
      <c r="C12" s="4" t="s">
        <v>42</v>
      </c>
      <c r="D12" s="1" t="s">
        <v>44</v>
      </c>
      <c r="E12" s="1">
        <v>200.0</v>
      </c>
      <c r="F12" s="4"/>
      <c r="G12" s="1" t="s">
        <v>46</v>
      </c>
      <c r="H12" s="28" t="s">
        <v>47</v>
      </c>
      <c r="I12" s="30">
        <v>610.0</v>
      </c>
      <c r="J12" s="30" t="s">
        <v>50</v>
      </c>
      <c r="K12" s="30" t="s">
        <v>50</v>
      </c>
      <c r="L12" s="30">
        <v>610.0</v>
      </c>
      <c r="M12" s="30">
        <v>315.0</v>
      </c>
    </row>
    <row r="13">
      <c r="A13" s="61">
        <v>46135.0</v>
      </c>
      <c r="B13" s="4" t="s">
        <v>40</v>
      </c>
      <c r="C13" s="4" t="s">
        <v>42</v>
      </c>
      <c r="D13" s="1" t="s">
        <v>44</v>
      </c>
      <c r="E13" s="1">
        <v>200.0</v>
      </c>
      <c r="F13" s="4"/>
      <c r="G13" s="1" t="s">
        <v>46</v>
      </c>
      <c r="H13" s="28" t="s">
        <v>47</v>
      </c>
      <c r="I13" s="30">
        <v>125.0</v>
      </c>
      <c r="J13" s="30" t="s">
        <v>49</v>
      </c>
      <c r="K13" s="30" t="s">
        <v>50</v>
      </c>
      <c r="L13" s="30">
        <v>1040.0</v>
      </c>
      <c r="M13" s="30">
        <v>305.0</v>
      </c>
    </row>
    <row r="14">
      <c r="A14" s="61">
        <v>46146.0</v>
      </c>
      <c r="B14" s="4" t="s">
        <v>41</v>
      </c>
      <c r="C14" s="4" t="s">
        <v>42</v>
      </c>
      <c r="D14" s="1" t="s">
        <v>53</v>
      </c>
      <c r="E14" s="1">
        <v>200.0</v>
      </c>
      <c r="F14" s="4"/>
      <c r="G14" s="1" t="s">
        <v>46</v>
      </c>
      <c r="H14" s="28" t="s">
        <v>47</v>
      </c>
      <c r="I14" s="30">
        <v>100.0</v>
      </c>
      <c r="J14" s="30" t="s">
        <v>49</v>
      </c>
      <c r="K14" s="30" t="s">
        <v>50</v>
      </c>
      <c r="L14" s="30">
        <v>610.0</v>
      </c>
      <c r="M14" s="30">
        <v>320.0</v>
      </c>
    </row>
    <row r="15">
      <c r="A15" s="61">
        <v>46162.0</v>
      </c>
      <c r="B15" s="4" t="s">
        <v>18</v>
      </c>
      <c r="C15" s="4" t="s">
        <v>42</v>
      </c>
      <c r="D15" s="1" t="s">
        <v>53</v>
      </c>
      <c r="E15" s="1">
        <v>200.0</v>
      </c>
      <c r="F15" s="4"/>
      <c r="G15" s="1" t="s">
        <v>46</v>
      </c>
      <c r="H15" s="28" t="s">
        <v>47</v>
      </c>
      <c r="I15" s="30">
        <v>490.0</v>
      </c>
      <c r="J15" s="30" t="s">
        <v>50</v>
      </c>
      <c r="K15" s="30" t="s">
        <v>50</v>
      </c>
      <c r="L15" s="30">
        <v>490.0</v>
      </c>
      <c r="M15" s="30">
        <v>95.0</v>
      </c>
    </row>
    <row r="16">
      <c r="A16" s="61">
        <v>46189.0</v>
      </c>
      <c r="B16" s="4" t="s">
        <v>14</v>
      </c>
      <c r="C16" s="4" t="s">
        <v>42</v>
      </c>
      <c r="D16" s="1" t="s">
        <v>53</v>
      </c>
      <c r="E16" s="1">
        <v>200.0</v>
      </c>
      <c r="F16" s="4"/>
      <c r="G16" s="1" t="s">
        <v>46</v>
      </c>
      <c r="H16" s="28" t="s">
        <v>47</v>
      </c>
      <c r="I16" s="30">
        <v>350.0</v>
      </c>
      <c r="J16" s="30" t="s">
        <v>49</v>
      </c>
      <c r="K16" s="30" t="s">
        <v>49</v>
      </c>
      <c r="L16" s="30">
        <v>350.0</v>
      </c>
      <c r="M16" s="57"/>
    </row>
    <row r="17">
      <c r="A17" s="61">
        <v>46211.0</v>
      </c>
      <c r="B17" s="4" t="s">
        <v>18</v>
      </c>
      <c r="C17" s="4" t="s">
        <v>42</v>
      </c>
      <c r="D17" s="1" t="s">
        <v>53</v>
      </c>
      <c r="E17" s="1">
        <v>175.0</v>
      </c>
      <c r="F17" s="1">
        <v>175.0</v>
      </c>
      <c r="G17" s="1" t="s">
        <v>46</v>
      </c>
      <c r="H17" s="28" t="s">
        <v>47</v>
      </c>
      <c r="I17" s="30">
        <v>125.0</v>
      </c>
      <c r="J17" s="30" t="s">
        <v>49</v>
      </c>
      <c r="K17" s="30" t="s">
        <v>49</v>
      </c>
      <c r="L17" s="30">
        <v>150.0</v>
      </c>
      <c r="M17" s="57"/>
    </row>
    <row r="18">
      <c r="A18" s="61">
        <v>46231.0</v>
      </c>
      <c r="B18" s="4" t="s">
        <v>14</v>
      </c>
      <c r="C18" s="4" t="s">
        <v>42</v>
      </c>
      <c r="D18" s="1" t="s">
        <v>44</v>
      </c>
      <c r="E18" s="1">
        <v>200.0</v>
      </c>
      <c r="F18" s="4"/>
      <c r="G18" s="1" t="s">
        <v>46</v>
      </c>
      <c r="H18" s="28" t="s">
        <v>47</v>
      </c>
      <c r="I18" s="30">
        <v>180.0</v>
      </c>
      <c r="J18" s="30" t="s">
        <v>49</v>
      </c>
      <c r="K18" s="30" t="s">
        <v>49</v>
      </c>
      <c r="L18" s="30">
        <v>180.0</v>
      </c>
      <c r="M18" s="57"/>
    </row>
    <row r="19">
      <c r="A19" s="61">
        <v>46233.0</v>
      </c>
      <c r="B19" s="4" t="s">
        <v>40</v>
      </c>
      <c r="C19" s="4" t="s">
        <v>42</v>
      </c>
      <c r="D19" s="1" t="s">
        <v>44</v>
      </c>
      <c r="E19" s="1">
        <v>200.0</v>
      </c>
      <c r="F19" s="4"/>
      <c r="G19" s="1" t="s">
        <v>46</v>
      </c>
      <c r="H19" s="28" t="s">
        <v>47</v>
      </c>
      <c r="I19" s="30">
        <v>330.0</v>
      </c>
      <c r="J19" s="30" t="s">
        <v>49</v>
      </c>
      <c r="K19" s="30" t="s">
        <v>49</v>
      </c>
      <c r="L19" s="30">
        <v>330.0</v>
      </c>
      <c r="M19" s="57"/>
    </row>
    <row r="20">
      <c r="A20" s="61">
        <v>46267.0</v>
      </c>
      <c r="B20" s="4" t="s">
        <v>18</v>
      </c>
      <c r="C20" s="4" t="s">
        <v>42</v>
      </c>
      <c r="D20" s="1" t="s">
        <v>53</v>
      </c>
      <c r="E20" s="1">
        <v>200.0</v>
      </c>
      <c r="F20" s="4"/>
      <c r="G20" s="1" t="s">
        <v>46</v>
      </c>
      <c r="H20" s="28" t="s">
        <v>47</v>
      </c>
      <c r="I20" s="30">
        <v>305.0</v>
      </c>
      <c r="J20" s="30" t="s">
        <v>49</v>
      </c>
      <c r="K20" s="30" t="s">
        <v>50</v>
      </c>
      <c r="L20" s="30">
        <v>3200.0</v>
      </c>
      <c r="M20" s="30">
        <v>2740.0</v>
      </c>
    </row>
    <row r="21">
      <c r="A21" s="61">
        <v>46276.0</v>
      </c>
      <c r="B21" s="1" t="s">
        <v>60</v>
      </c>
      <c r="C21" s="1" t="s">
        <v>42</v>
      </c>
      <c r="D21" s="1" t="s">
        <v>44</v>
      </c>
      <c r="E21" s="1">
        <v>200.0</v>
      </c>
      <c r="F21" s="4"/>
      <c r="G21" s="1" t="s">
        <v>46</v>
      </c>
      <c r="H21" s="28" t="s">
        <v>47</v>
      </c>
      <c r="I21" s="30">
        <v>375.0</v>
      </c>
      <c r="J21" s="30" t="s">
        <v>49</v>
      </c>
      <c r="K21" s="30" t="s">
        <v>50</v>
      </c>
      <c r="L21" s="30">
        <v>645.0</v>
      </c>
      <c r="M21" s="30">
        <v>0.0</v>
      </c>
    </row>
    <row r="22">
      <c r="A22" s="66">
        <v>46286.0</v>
      </c>
      <c r="B22" s="1" t="s">
        <v>41</v>
      </c>
      <c r="C22" s="1" t="s">
        <v>42</v>
      </c>
      <c r="D22" s="1" t="s">
        <v>44</v>
      </c>
      <c r="E22" s="1">
        <v>175.0</v>
      </c>
      <c r="F22" s="1"/>
      <c r="G22" s="1" t="s">
        <v>46</v>
      </c>
      <c r="H22" s="28" t="s">
        <v>47</v>
      </c>
      <c r="I22" s="57"/>
      <c r="J22" s="57"/>
      <c r="K22" s="57"/>
      <c r="L22" s="57"/>
      <c r="M22" s="5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22">
        <v>46030.0</v>
      </c>
      <c r="B24" s="12" t="s">
        <v>40</v>
      </c>
      <c r="C24" s="4" t="s">
        <v>42</v>
      </c>
      <c r="D24" s="1" t="s">
        <v>53</v>
      </c>
      <c r="E24" s="1">
        <v>150.0</v>
      </c>
      <c r="F24" s="1">
        <v>125.0</v>
      </c>
      <c r="G24" s="68" t="s">
        <v>51</v>
      </c>
      <c r="H24" s="28" t="s">
        <v>47</v>
      </c>
      <c r="I24" s="30">
        <v>100.0</v>
      </c>
      <c r="J24" s="30" t="s">
        <v>49</v>
      </c>
      <c r="K24" s="30" t="s">
        <v>50</v>
      </c>
      <c r="L24" s="30">
        <v>450.0</v>
      </c>
      <c r="M24" s="30">
        <v>175.0</v>
      </c>
    </row>
    <row r="25">
      <c r="A25" s="22">
        <v>46035.0</v>
      </c>
      <c r="B25" s="12" t="s">
        <v>14</v>
      </c>
      <c r="C25" s="4" t="s">
        <v>42</v>
      </c>
      <c r="D25" s="1" t="s">
        <v>44</v>
      </c>
      <c r="E25" s="1">
        <v>150.0</v>
      </c>
      <c r="F25" s="1" t="s">
        <v>55</v>
      </c>
      <c r="G25" s="68" t="s">
        <v>51</v>
      </c>
      <c r="H25" s="28" t="s">
        <v>47</v>
      </c>
      <c r="I25" s="30">
        <v>275.0</v>
      </c>
      <c r="J25" s="30" t="s">
        <v>50</v>
      </c>
      <c r="K25" s="30" t="s">
        <v>50</v>
      </c>
      <c r="L25" s="30">
        <v>275.0</v>
      </c>
      <c r="M25" s="30">
        <v>115.0</v>
      </c>
    </row>
    <row r="26">
      <c r="A26" s="22">
        <v>46065.0</v>
      </c>
      <c r="B26" s="12" t="s">
        <v>40</v>
      </c>
      <c r="C26" s="4" t="s">
        <v>42</v>
      </c>
      <c r="D26" s="1" t="s">
        <v>44</v>
      </c>
      <c r="E26" s="1">
        <v>150.0</v>
      </c>
      <c r="F26" s="1" t="s">
        <v>55</v>
      </c>
      <c r="G26" s="68" t="s">
        <v>51</v>
      </c>
      <c r="H26" s="28" t="s">
        <v>47</v>
      </c>
      <c r="I26" s="30">
        <v>240.0</v>
      </c>
      <c r="J26" s="30" t="s">
        <v>49</v>
      </c>
      <c r="K26" s="30" t="s">
        <v>50</v>
      </c>
      <c r="L26" s="30">
        <v>410.0</v>
      </c>
      <c r="M26" s="30">
        <v>35.0</v>
      </c>
    </row>
    <row r="27">
      <c r="A27" s="61">
        <v>46155.0</v>
      </c>
      <c r="B27" s="4" t="s">
        <v>18</v>
      </c>
      <c r="C27" s="4" t="s">
        <v>42</v>
      </c>
      <c r="D27" s="1" t="s">
        <v>44</v>
      </c>
      <c r="E27" s="1">
        <v>100.0</v>
      </c>
      <c r="F27" s="1" t="s">
        <v>55</v>
      </c>
      <c r="G27" s="68" t="s">
        <v>51</v>
      </c>
      <c r="H27" s="28" t="s">
        <v>47</v>
      </c>
      <c r="I27" s="30">
        <v>810.0</v>
      </c>
      <c r="J27" s="30" t="s">
        <v>50</v>
      </c>
      <c r="K27" s="30" t="s">
        <v>50</v>
      </c>
      <c r="L27" s="30">
        <v>810.0</v>
      </c>
      <c r="M27" s="30">
        <v>380.0</v>
      </c>
    </row>
    <row r="28">
      <c r="A28" s="61">
        <v>46163.0</v>
      </c>
      <c r="B28" s="4" t="s">
        <v>40</v>
      </c>
      <c r="C28" s="4" t="s">
        <v>42</v>
      </c>
      <c r="D28" s="1" t="s">
        <v>44</v>
      </c>
      <c r="E28" s="1">
        <v>150.0</v>
      </c>
      <c r="F28" s="1">
        <v>175.0</v>
      </c>
      <c r="G28" s="68" t="s">
        <v>51</v>
      </c>
      <c r="H28" s="28" t="s">
        <v>47</v>
      </c>
      <c r="I28" s="30">
        <v>140.0</v>
      </c>
      <c r="J28" s="30" t="s">
        <v>49</v>
      </c>
      <c r="K28" s="30" t="s">
        <v>49</v>
      </c>
      <c r="L28" s="30">
        <v>305.0</v>
      </c>
      <c r="M28" s="57"/>
    </row>
    <row r="29">
      <c r="A29" s="61">
        <v>46167.0</v>
      </c>
      <c r="B29" s="4" t="s">
        <v>41</v>
      </c>
      <c r="C29" s="4" t="s">
        <v>42</v>
      </c>
      <c r="D29" s="1" t="s">
        <v>53</v>
      </c>
      <c r="E29" s="1">
        <v>150.0</v>
      </c>
      <c r="F29" s="1">
        <v>150.0</v>
      </c>
      <c r="G29" s="68" t="s">
        <v>51</v>
      </c>
      <c r="H29" s="28" t="s">
        <v>47</v>
      </c>
      <c r="I29" s="30">
        <v>145.0</v>
      </c>
      <c r="J29" s="30" t="s">
        <v>49</v>
      </c>
      <c r="K29" s="30" t="s">
        <v>50</v>
      </c>
      <c r="L29" s="30">
        <v>280.0</v>
      </c>
      <c r="M29" s="30">
        <v>0.0</v>
      </c>
    </row>
    <row r="30">
      <c r="A30" s="61">
        <v>46182.0</v>
      </c>
      <c r="B30" s="4" t="s">
        <v>14</v>
      </c>
      <c r="C30" s="4" t="s">
        <v>42</v>
      </c>
      <c r="D30" s="1" t="s">
        <v>53</v>
      </c>
      <c r="E30" s="1">
        <v>125.0</v>
      </c>
      <c r="F30" s="1" t="s">
        <v>55</v>
      </c>
      <c r="G30" s="68" t="s">
        <v>51</v>
      </c>
      <c r="H30" s="28" t="s">
        <v>47</v>
      </c>
      <c r="I30" s="30">
        <v>395.0</v>
      </c>
      <c r="J30" s="30" t="s">
        <v>49</v>
      </c>
      <c r="K30" s="30" t="s">
        <v>49</v>
      </c>
      <c r="L30" s="30">
        <v>395.0</v>
      </c>
      <c r="M30" s="57"/>
    </row>
    <row r="31">
      <c r="A31" s="61">
        <v>46247.0</v>
      </c>
      <c r="B31" s="4" t="s">
        <v>40</v>
      </c>
      <c r="C31" s="4" t="s">
        <v>42</v>
      </c>
      <c r="D31" s="1" t="s">
        <v>53</v>
      </c>
      <c r="E31" s="1">
        <v>150.0</v>
      </c>
      <c r="F31" s="1" t="s">
        <v>55</v>
      </c>
      <c r="G31" s="68" t="s">
        <v>51</v>
      </c>
      <c r="H31" s="28" t="s">
        <v>47</v>
      </c>
      <c r="I31" s="30">
        <v>635.0</v>
      </c>
      <c r="J31" s="30" t="s">
        <v>50</v>
      </c>
      <c r="K31" s="30" t="s">
        <v>50</v>
      </c>
      <c r="L31" s="30">
        <v>635.0</v>
      </c>
      <c r="M31" s="30">
        <v>375.0</v>
      </c>
    </row>
    <row r="32">
      <c r="A32" s="61">
        <v>46261.0</v>
      </c>
      <c r="B32" s="4" t="s">
        <v>40</v>
      </c>
      <c r="C32" s="4" t="s">
        <v>42</v>
      </c>
      <c r="D32" s="1" t="s">
        <v>44</v>
      </c>
      <c r="E32" s="1">
        <v>100.0</v>
      </c>
      <c r="F32" s="1">
        <v>150.0</v>
      </c>
      <c r="G32" s="68" t="s">
        <v>51</v>
      </c>
      <c r="H32" s="28" t="s">
        <v>47</v>
      </c>
      <c r="I32" s="30">
        <v>150.0</v>
      </c>
      <c r="J32" s="30" t="s">
        <v>49</v>
      </c>
      <c r="K32" s="30" t="s">
        <v>49</v>
      </c>
      <c r="L32" s="30">
        <v>150.0</v>
      </c>
      <c r="M32" s="57"/>
    </row>
    <row r="33">
      <c r="A33" s="61">
        <v>46262.0</v>
      </c>
      <c r="B33" s="4" t="s">
        <v>10</v>
      </c>
      <c r="C33" s="4" t="s">
        <v>42</v>
      </c>
      <c r="D33" s="1" t="s">
        <v>44</v>
      </c>
      <c r="E33" s="1">
        <v>100.0</v>
      </c>
      <c r="F33" s="1">
        <v>125.0</v>
      </c>
      <c r="G33" s="68" t="s">
        <v>51</v>
      </c>
      <c r="H33" s="28" t="s">
        <v>47</v>
      </c>
      <c r="I33" s="30">
        <v>130.0</v>
      </c>
      <c r="J33" s="30" t="s">
        <v>49</v>
      </c>
      <c r="K33" s="30" t="s">
        <v>49</v>
      </c>
      <c r="L33" s="30">
        <v>130.0</v>
      </c>
      <c r="M33" s="57"/>
    </row>
    <row r="34">
      <c r="A34" s="71">
        <v>46265.0</v>
      </c>
      <c r="B34" s="39" t="s">
        <v>41</v>
      </c>
      <c r="C34" s="39" t="s">
        <v>42</v>
      </c>
      <c r="D34" s="41" t="s">
        <v>53</v>
      </c>
      <c r="E34" s="41">
        <v>125.0</v>
      </c>
      <c r="F34" s="41">
        <v>150.0</v>
      </c>
      <c r="G34" s="72" t="s">
        <v>51</v>
      </c>
      <c r="H34" s="28" t="s">
        <v>47</v>
      </c>
      <c r="I34" s="30">
        <v>160.0</v>
      </c>
      <c r="J34" s="30" t="s">
        <v>49</v>
      </c>
      <c r="K34" s="30" t="s">
        <v>49</v>
      </c>
      <c r="L34" s="30">
        <v>160.0</v>
      </c>
      <c r="M34" s="57"/>
    </row>
    <row r="35">
      <c r="A35" s="61">
        <v>46266.0</v>
      </c>
      <c r="B35" s="4" t="s">
        <v>14</v>
      </c>
      <c r="C35" s="4" t="s">
        <v>42</v>
      </c>
      <c r="D35" s="1" t="s">
        <v>53</v>
      </c>
      <c r="E35" s="1">
        <v>125.0</v>
      </c>
      <c r="F35" s="1" t="s">
        <v>55</v>
      </c>
      <c r="G35" s="68" t="s">
        <v>51</v>
      </c>
      <c r="H35" s="28" t="s">
        <v>47</v>
      </c>
      <c r="I35" s="30">
        <v>1360.0</v>
      </c>
      <c r="J35" s="30" t="s">
        <v>50</v>
      </c>
      <c r="K35" s="30" t="s">
        <v>50</v>
      </c>
      <c r="L35" s="30">
        <v>1360.0</v>
      </c>
      <c r="M35" s="30">
        <v>780.0</v>
      </c>
    </row>
    <row r="36">
      <c r="A36" s="61">
        <v>46268.0</v>
      </c>
      <c r="B36" s="4" t="s">
        <v>40</v>
      </c>
      <c r="C36" s="4" t="s">
        <v>42</v>
      </c>
      <c r="D36" s="1" t="s">
        <v>44</v>
      </c>
      <c r="E36" s="1">
        <v>125.0</v>
      </c>
      <c r="F36" s="1" t="s">
        <v>55</v>
      </c>
      <c r="G36" s="68" t="s">
        <v>51</v>
      </c>
      <c r="H36" s="28" t="s">
        <v>47</v>
      </c>
      <c r="I36" s="30">
        <v>570.0</v>
      </c>
      <c r="J36" s="30" t="s">
        <v>49</v>
      </c>
      <c r="K36" s="30" t="s">
        <v>49</v>
      </c>
      <c r="L36" s="30">
        <v>570.0</v>
      </c>
      <c r="M36" s="57"/>
    </row>
    <row r="37">
      <c r="A37" s="66">
        <v>46279.0</v>
      </c>
      <c r="B37" s="1" t="s">
        <v>41</v>
      </c>
      <c r="C37" s="1" t="s">
        <v>42</v>
      </c>
      <c r="D37" s="1" t="s">
        <v>44</v>
      </c>
      <c r="E37" s="1">
        <v>125.0</v>
      </c>
      <c r="F37" s="1">
        <v>175.0</v>
      </c>
      <c r="G37" s="68" t="s">
        <v>51</v>
      </c>
      <c r="H37" s="28" t="s">
        <v>47</v>
      </c>
      <c r="I37" s="30">
        <v>190.0</v>
      </c>
      <c r="J37" s="30" t="s">
        <v>49</v>
      </c>
      <c r="K37" s="30" t="s">
        <v>49</v>
      </c>
      <c r="L37" s="30">
        <v>190.0</v>
      </c>
      <c r="M37" s="57"/>
    </row>
  </sheetData>
  <conditionalFormatting sqref="E22 E37">
    <cfRule type="expression" dxfId="9" priority="1">
      <formula>OR(E22="175",E22="200",E22="&gt;200")</formula>
    </cfRule>
  </conditionalFormatting>
  <conditionalFormatting sqref="F22 F37">
    <cfRule type="expression" dxfId="10" priority="2">
      <formula>OR(F22="150",F22="175",F22="200",F22="200+")</formula>
    </cfRule>
  </conditionalFormatting>
  <conditionalFormatting sqref="G22 G37">
    <cfRule type="expression" dxfId="10" priority="3">
      <formula>G22="WIN"</formula>
    </cfRule>
  </conditionalFormatting>
  <conditionalFormatting sqref="G22 G37">
    <cfRule type="expression" dxfId="9" priority="4">
      <formula>G22="LOSS"</formula>
    </cfRule>
  </conditionalFormatting>
  <conditionalFormatting sqref="E21">
    <cfRule type="expression" dxfId="9" priority="5">
      <formula>OR(E21="175",E21="200",E21="&gt;200")</formula>
    </cfRule>
  </conditionalFormatting>
  <conditionalFormatting sqref="F21">
    <cfRule type="expression" dxfId="10" priority="6">
      <formula>OR(F21="150",F21="175",F21="200",F21="200+")</formula>
    </cfRule>
  </conditionalFormatting>
  <conditionalFormatting sqref="G21">
    <cfRule type="expression" dxfId="10" priority="7">
      <formula>G21="WIN"</formula>
    </cfRule>
  </conditionalFormatting>
  <conditionalFormatting sqref="G21">
    <cfRule type="expression" dxfId="9" priority="8">
      <formula>G21="LOSS"</formula>
    </cfRule>
  </conditionalFormatting>
  <conditionalFormatting sqref="E20">
    <cfRule type="expression" dxfId="9" priority="9">
      <formula>OR(E20="175",E20="200",E20="&gt;200")</formula>
    </cfRule>
  </conditionalFormatting>
  <conditionalFormatting sqref="F20">
    <cfRule type="expression" dxfId="10" priority="10">
      <formula>OR(F20="150",F20="175",F20="200",F20="200+")</formula>
    </cfRule>
  </conditionalFormatting>
  <conditionalFormatting sqref="G20">
    <cfRule type="expression" dxfId="10" priority="11">
      <formula>G20="WIN"</formula>
    </cfRule>
  </conditionalFormatting>
  <conditionalFormatting sqref="G20">
    <cfRule type="expression" dxfId="9" priority="12">
      <formula>G20="LOSS"</formula>
    </cfRule>
  </conditionalFormatting>
  <conditionalFormatting sqref="E19">
    <cfRule type="expression" dxfId="9" priority="13">
      <formula>OR(E19="175",E19="200",E19="&gt;200")</formula>
    </cfRule>
  </conditionalFormatting>
  <conditionalFormatting sqref="F19">
    <cfRule type="expression" dxfId="10" priority="14">
      <formula>OR(F19="150",F19="175",F19="200",F19="200+")</formula>
    </cfRule>
  </conditionalFormatting>
  <conditionalFormatting sqref="G19">
    <cfRule type="expression" dxfId="10" priority="15">
      <formula>G19="WIN"</formula>
    </cfRule>
  </conditionalFormatting>
  <conditionalFormatting sqref="G19">
    <cfRule type="expression" dxfId="9" priority="16">
      <formula>G19="LOSS"</formula>
    </cfRule>
  </conditionalFormatting>
  <conditionalFormatting sqref="E18">
    <cfRule type="expression" dxfId="9" priority="17">
      <formula>OR(E18="175",E18="200",E18="&gt;200")</formula>
    </cfRule>
  </conditionalFormatting>
  <conditionalFormatting sqref="F18">
    <cfRule type="expression" dxfId="10" priority="18">
      <formula>OR(F18="150",F18="175",F18="200",F18="200+")</formula>
    </cfRule>
  </conditionalFormatting>
  <conditionalFormatting sqref="G18">
    <cfRule type="expression" dxfId="10" priority="19">
      <formula>G18="WIN"</formula>
    </cfRule>
  </conditionalFormatting>
  <conditionalFormatting sqref="G18">
    <cfRule type="expression" dxfId="9" priority="20">
      <formula>G18="LOSS"</formula>
    </cfRule>
  </conditionalFormatting>
  <conditionalFormatting sqref="E17">
    <cfRule type="expression" dxfId="9" priority="21">
      <formula>OR(E17="175",E17="200",E17="&gt;200")</formula>
    </cfRule>
  </conditionalFormatting>
  <conditionalFormatting sqref="F17">
    <cfRule type="expression" dxfId="10" priority="22">
      <formula>OR(F17="150",F17="175",F17="200",F17="200+")</formula>
    </cfRule>
  </conditionalFormatting>
  <conditionalFormatting sqref="G17">
    <cfRule type="expression" dxfId="10" priority="23">
      <formula>G17="WIN"</formula>
    </cfRule>
  </conditionalFormatting>
  <conditionalFormatting sqref="G17">
    <cfRule type="expression" dxfId="9" priority="24">
      <formula>G17="LOSS"</formula>
    </cfRule>
  </conditionalFormatting>
  <conditionalFormatting sqref="E16">
    <cfRule type="expression" dxfId="9" priority="25">
      <formula>OR(E16="175",E16="200",E16="&gt;200")</formula>
    </cfRule>
  </conditionalFormatting>
  <conditionalFormatting sqref="F16">
    <cfRule type="expression" dxfId="10" priority="26">
      <formula>OR(F16="150",F16="175",F16="200",F16="200+")</formula>
    </cfRule>
  </conditionalFormatting>
  <conditionalFormatting sqref="G16">
    <cfRule type="expression" dxfId="10" priority="27">
      <formula>G16="WIN"</formula>
    </cfRule>
  </conditionalFormatting>
  <conditionalFormatting sqref="G16">
    <cfRule type="expression" dxfId="9" priority="28">
      <formula>G16="LOSS"</formula>
    </cfRule>
  </conditionalFormatting>
  <conditionalFormatting sqref="E15">
    <cfRule type="expression" dxfId="9" priority="29">
      <formula>OR(E15="175",E15="200",E15="&gt;200")</formula>
    </cfRule>
  </conditionalFormatting>
  <conditionalFormatting sqref="F15">
    <cfRule type="expression" dxfId="10" priority="30">
      <formula>OR(F15="150",F15="175",F15="200",F15="200+")</formula>
    </cfRule>
  </conditionalFormatting>
  <conditionalFormatting sqref="G15">
    <cfRule type="expression" dxfId="10" priority="31">
      <formula>G15="WIN"</formula>
    </cfRule>
  </conditionalFormatting>
  <conditionalFormatting sqref="G15">
    <cfRule type="expression" dxfId="9" priority="32">
      <formula>G15="LOSS"</formula>
    </cfRule>
  </conditionalFormatting>
  <conditionalFormatting sqref="E14">
    <cfRule type="expression" dxfId="9" priority="33">
      <formula>OR(E14="175",E14="200",E14="&gt;200")</formula>
    </cfRule>
  </conditionalFormatting>
  <conditionalFormatting sqref="F14">
    <cfRule type="expression" dxfId="10" priority="34">
      <formula>OR(F14="150",F14="175",F14="200",F14="200+")</formula>
    </cfRule>
  </conditionalFormatting>
  <conditionalFormatting sqref="G14">
    <cfRule type="expression" dxfId="10" priority="35">
      <formula>G14="WIN"</formula>
    </cfRule>
  </conditionalFormatting>
  <conditionalFormatting sqref="G14">
    <cfRule type="expression" dxfId="9" priority="36">
      <formula>G14="LOSS"</formula>
    </cfRule>
  </conditionalFormatting>
  <conditionalFormatting sqref="E13">
    <cfRule type="expression" dxfId="9" priority="37">
      <formula>OR(E13="175",E13="200",E13="&gt;200")</formula>
    </cfRule>
  </conditionalFormatting>
  <conditionalFormatting sqref="F13">
    <cfRule type="expression" dxfId="10" priority="38">
      <formula>OR(F13="150",F13="175",F13="200",F13="200+")</formula>
    </cfRule>
  </conditionalFormatting>
  <conditionalFormatting sqref="G13">
    <cfRule type="expression" dxfId="10" priority="39">
      <formula>G13="WIN"</formula>
    </cfRule>
  </conditionalFormatting>
  <conditionalFormatting sqref="G13">
    <cfRule type="expression" dxfId="9" priority="40">
      <formula>G13="LOSS"</formula>
    </cfRule>
  </conditionalFormatting>
  <conditionalFormatting sqref="E12">
    <cfRule type="expression" dxfId="9" priority="41">
      <formula>OR(E12="175",E12="200",E12="&gt;200")</formula>
    </cfRule>
  </conditionalFormatting>
  <conditionalFormatting sqref="F12">
    <cfRule type="expression" dxfId="10" priority="42">
      <formula>OR(F12="150",F12="175",F12="200",F12="200+")</formula>
    </cfRule>
  </conditionalFormatting>
  <conditionalFormatting sqref="G12">
    <cfRule type="expression" dxfId="10" priority="43">
      <formula>G12="WIN"</formula>
    </cfRule>
  </conditionalFormatting>
  <conditionalFormatting sqref="G12">
    <cfRule type="expression" dxfId="9" priority="44">
      <formula>G12="LOSS"</formula>
    </cfRule>
  </conditionalFormatting>
  <conditionalFormatting sqref="E11">
    <cfRule type="expression" dxfId="9" priority="45">
      <formula>OR(E11="175",E11="200",E11="&gt;200")</formula>
    </cfRule>
  </conditionalFormatting>
  <conditionalFormatting sqref="F11">
    <cfRule type="expression" dxfId="10" priority="46">
      <formula>OR(F11="150",F11="175",F11="200",F11="200+")</formula>
    </cfRule>
  </conditionalFormatting>
  <conditionalFormatting sqref="G11">
    <cfRule type="expression" dxfId="10" priority="47">
      <formula>G11="WIN"</formula>
    </cfRule>
  </conditionalFormatting>
  <conditionalFormatting sqref="G11">
    <cfRule type="expression" dxfId="9" priority="48">
      <formula>G11="LOSS"</formula>
    </cfRule>
  </conditionalFormatting>
  <conditionalFormatting sqref="E10">
    <cfRule type="expression" dxfId="9" priority="49">
      <formula>OR(E10="175",E10="200",E10="&gt;200")</formula>
    </cfRule>
  </conditionalFormatting>
  <conditionalFormatting sqref="F10">
    <cfRule type="expression" dxfId="10" priority="50">
      <formula>OR(F10="150",F10="175",F10="200",F10="200+")</formula>
    </cfRule>
  </conditionalFormatting>
  <conditionalFormatting sqref="G10">
    <cfRule type="expression" dxfId="10" priority="51">
      <formula>G10="WIN"</formula>
    </cfRule>
  </conditionalFormatting>
  <conditionalFormatting sqref="G10">
    <cfRule type="expression" dxfId="9" priority="52">
      <formula>G10="LOSS"</formula>
    </cfRule>
  </conditionalFormatting>
  <conditionalFormatting sqref="E9">
    <cfRule type="expression" dxfId="9" priority="53">
      <formula>OR(E9="175",E9="200",E9="&gt;200")</formula>
    </cfRule>
  </conditionalFormatting>
  <conditionalFormatting sqref="F9">
    <cfRule type="expression" dxfId="10" priority="54">
      <formula>OR(F9="150",F9="175",F9="200",F9="200+")</formula>
    </cfRule>
  </conditionalFormatting>
  <conditionalFormatting sqref="G9">
    <cfRule type="expression" dxfId="10" priority="55">
      <formula>G9="WIN"</formula>
    </cfRule>
  </conditionalFormatting>
  <conditionalFormatting sqref="G9">
    <cfRule type="expression" dxfId="9" priority="56">
      <formula>G9="LOSS"</formula>
    </cfRule>
  </conditionalFormatting>
  <conditionalFormatting sqref="E8">
    <cfRule type="expression" dxfId="9" priority="57">
      <formula>OR(E8="175",E8="200",E8="&gt;200")</formula>
    </cfRule>
  </conditionalFormatting>
  <conditionalFormatting sqref="F8">
    <cfRule type="expression" dxfId="10" priority="58">
      <formula>OR(F8="150",F8="175",F8="200",F8="200+")</formula>
    </cfRule>
  </conditionalFormatting>
  <conditionalFormatting sqref="G8">
    <cfRule type="expression" dxfId="10" priority="59">
      <formula>G8="WIN"</formula>
    </cfRule>
  </conditionalFormatting>
  <conditionalFormatting sqref="G8">
    <cfRule type="expression" dxfId="9" priority="60">
      <formula>G8="LOSS"</formula>
    </cfRule>
  </conditionalFormatting>
  <conditionalFormatting sqref="E7">
    <cfRule type="expression" dxfId="9" priority="61">
      <formula>OR(E7="175",E7="200",E7="&gt;200")</formula>
    </cfRule>
  </conditionalFormatting>
  <conditionalFormatting sqref="F7">
    <cfRule type="expression" dxfId="10" priority="62">
      <formula>OR(F7="150",F7="175",F7="200",F7="200+")</formula>
    </cfRule>
  </conditionalFormatting>
  <conditionalFormatting sqref="G7">
    <cfRule type="expression" dxfId="10" priority="63">
      <formula>G7="WIN"</formula>
    </cfRule>
  </conditionalFormatting>
  <conditionalFormatting sqref="G7">
    <cfRule type="expression" dxfId="9" priority="64">
      <formula>G7="LOSS"</formula>
    </cfRule>
  </conditionalFormatting>
  <conditionalFormatting sqref="E5:E6">
    <cfRule type="expression" dxfId="9" priority="65">
      <formula>OR(E5="175",E5="200",E5="&gt;200")</formula>
    </cfRule>
  </conditionalFormatting>
  <conditionalFormatting sqref="F5:F6">
    <cfRule type="expression" dxfId="10" priority="66">
      <formula>OR(F5="150",F5="175",F5="200",F5="200+")</formula>
    </cfRule>
  </conditionalFormatting>
  <conditionalFormatting sqref="G5:G6">
    <cfRule type="expression" dxfId="10" priority="67">
      <formula>G5="WIN"</formula>
    </cfRule>
  </conditionalFormatting>
  <conditionalFormatting sqref="G5:G6">
    <cfRule type="expression" dxfId="9" priority="68">
      <formula>G5="LOSS"</formula>
    </cfRule>
  </conditionalFormatting>
  <conditionalFormatting sqref="E4">
    <cfRule type="expression" dxfId="9" priority="69">
      <formula>OR(E4="175",E4="200",E4="&gt;200")</formula>
    </cfRule>
  </conditionalFormatting>
  <conditionalFormatting sqref="F4">
    <cfRule type="expression" dxfId="10" priority="70">
      <formula>OR(F4="150",F4="175",F4="200",F4="200+")</formula>
    </cfRule>
  </conditionalFormatting>
  <conditionalFormatting sqref="G4">
    <cfRule type="expression" dxfId="10" priority="71">
      <formula>G4="WIN"</formula>
    </cfRule>
  </conditionalFormatting>
  <conditionalFormatting sqref="G4">
    <cfRule type="expression" dxfId="9" priority="72">
      <formula>G4="LOSS"</formula>
    </cfRule>
  </conditionalFormatting>
  <conditionalFormatting sqref="E3">
    <cfRule type="expression" dxfId="9" priority="73">
      <formula>OR(E3="175",E3="200",E3="&gt;200")</formula>
    </cfRule>
  </conditionalFormatting>
  <conditionalFormatting sqref="F3">
    <cfRule type="expression" dxfId="10" priority="74">
      <formula>OR(F3="150",F3="175",F3="200",F3="200+")</formula>
    </cfRule>
  </conditionalFormatting>
  <conditionalFormatting sqref="G3">
    <cfRule type="expression" dxfId="10" priority="75">
      <formula>G3="WIN"</formula>
    </cfRule>
  </conditionalFormatting>
  <conditionalFormatting sqref="G3">
    <cfRule type="expression" dxfId="9" priority="76">
      <formula>G3="LOSS"</formula>
    </cfRule>
  </conditionalFormatting>
  <conditionalFormatting sqref="E2">
    <cfRule type="expression" dxfId="9" priority="77">
      <formula>OR(E2="175",E2="200",E2="&gt;200")</formula>
    </cfRule>
  </conditionalFormatting>
  <conditionalFormatting sqref="F2">
    <cfRule type="expression" dxfId="10" priority="78">
      <formula>OR(F2="150",F2="175",F2="200",F2="200+")</formula>
    </cfRule>
  </conditionalFormatting>
  <conditionalFormatting sqref="G2">
    <cfRule type="expression" dxfId="10" priority="79">
      <formula>G2="WIN"</formula>
    </cfRule>
  </conditionalFormatting>
  <conditionalFormatting sqref="G2">
    <cfRule type="expression" dxfId="9" priority="80">
      <formula>G2="LOSS"</formula>
    </cfRule>
  </conditionalFormatting>
  <dataValidations>
    <dataValidation type="list" allowBlank="1" sqref="F2:F22 F24:F37">
      <formula1>"&lt;100,100,125,150,175,200,200+"</formula1>
    </dataValidation>
    <dataValidation type="list" allowBlank="1" sqref="D2:D22 D24:D37">
      <formula1>"COMPRA,VENDA"</formula1>
    </dataValidation>
    <dataValidation type="list" allowBlank="1" showErrorMessage="1" sqref="K2:K22 K24:K37">
      <formula1>"nao,sim"</formula1>
    </dataValidation>
    <dataValidation type="list" allowBlank="1" sqref="E2:E22 E24:E37">
      <formula1>"&lt;100,100,125,150,175,200,&gt;200"</formula1>
    </dataValidation>
    <dataValidation type="list" allowBlank="1" showErrorMessage="1" sqref="J2:J22 J24:J37">
      <formula1>"sim,nao"</formula1>
    </dataValidation>
    <dataValidation type="list" allowBlank="1" sqref="G2:G22 G24:G37">
      <formula1>"WIN,LOSS"</formula1>
    </dataValidation>
  </dataValidations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2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4">
        <f>SUM('QUANTO PAGARAM'!F2:F10)</f>
        <v>30486</v>
      </c>
      <c r="C2" s="4">
        <f>6*240</f>
        <v>1440</v>
      </c>
      <c r="D2" s="4">
        <f>3*(-2040)</f>
        <v>-6120</v>
      </c>
      <c r="E2" s="4">
        <f t="shared" ref="E2:E10" si="1">SUM(B2:D2)</f>
        <v>25806</v>
      </c>
      <c r="F2" s="1"/>
    </row>
    <row r="3">
      <c r="A3" s="1" t="s">
        <v>12</v>
      </c>
      <c r="B3" s="4">
        <f>SUM('QUANTO PAGARAM'!F11:F15)</f>
        <v>8730</v>
      </c>
      <c r="C3" s="4">
        <f>4*240</f>
        <v>960</v>
      </c>
      <c r="D3" s="4">
        <f>7*(-2040)</f>
        <v>-14280</v>
      </c>
      <c r="E3" s="4">
        <f t="shared" si="1"/>
        <v>-4590</v>
      </c>
    </row>
    <row r="4">
      <c r="A4" s="1" t="s">
        <v>16</v>
      </c>
      <c r="B4" s="4">
        <f>SUM('QUANTO PAGARAM'!F16:F19)</f>
        <v>4320</v>
      </c>
      <c r="C4" s="4">
        <f>8*240</f>
        <v>1920</v>
      </c>
      <c r="D4" s="4">
        <f>10*(-2040)</f>
        <v>-20400</v>
      </c>
      <c r="E4" s="4">
        <f t="shared" si="1"/>
        <v>-14160</v>
      </c>
    </row>
    <row r="5">
      <c r="A5" s="1" t="s">
        <v>27</v>
      </c>
      <c r="B5" s="4">
        <f>SUM('QUANTO PAGARAM'!F20:F27)</f>
        <v>16470</v>
      </c>
      <c r="C5" s="4">
        <f>4*240</f>
        <v>960</v>
      </c>
      <c r="D5" s="4">
        <f t="shared" ref="D5:D6" si="2">4*(-2040)</f>
        <v>-8160</v>
      </c>
      <c r="E5" s="4">
        <f t="shared" si="1"/>
        <v>9270</v>
      </c>
    </row>
    <row r="6">
      <c r="A6" s="1" t="s">
        <v>43</v>
      </c>
      <c r="B6" s="4">
        <f>SUM('QUANTO PAGARAM'!F28:F36)</f>
        <v>30618</v>
      </c>
      <c r="C6" s="4">
        <f>6*240</f>
        <v>1440</v>
      </c>
      <c r="D6" s="4">
        <f t="shared" si="2"/>
        <v>-8160</v>
      </c>
      <c r="E6" s="4">
        <f t="shared" si="1"/>
        <v>23898</v>
      </c>
    </row>
    <row r="7">
      <c r="A7" s="1" t="s">
        <v>48</v>
      </c>
      <c r="B7" s="4">
        <f>SUM('QUANTO PAGARAM'!F37:F44)</f>
        <v>16866</v>
      </c>
      <c r="C7" s="4">
        <f>7*240</f>
        <v>1680</v>
      </c>
      <c r="D7" s="4">
        <f>5*(-2040)</f>
        <v>-10200</v>
      </c>
      <c r="E7" s="4">
        <f t="shared" si="1"/>
        <v>8346</v>
      </c>
    </row>
    <row r="8">
      <c r="A8" s="1" t="s">
        <v>52</v>
      </c>
      <c r="B8" s="4">
        <f>SUM('QUANTO PAGARAM'!F45:F52)</f>
        <v>18504</v>
      </c>
      <c r="C8" s="4">
        <f>5*240</f>
        <v>1200</v>
      </c>
      <c r="D8" s="4">
        <f>7*(-2040)</f>
        <v>-14280</v>
      </c>
      <c r="E8" s="4">
        <f t="shared" si="1"/>
        <v>5424</v>
      </c>
    </row>
    <row r="9">
      <c r="A9" s="1" t="s">
        <v>54</v>
      </c>
      <c r="B9" s="4">
        <f>SUM('QUANTO PAGARAM'!F53:F61)</f>
        <v>32724</v>
      </c>
      <c r="C9" s="4">
        <f>10*240</f>
        <v>2400</v>
      </c>
      <c r="D9" s="4">
        <f>1*(-2040)</f>
        <v>-2040</v>
      </c>
      <c r="E9" s="4">
        <f t="shared" si="1"/>
        <v>33084</v>
      </c>
    </row>
    <row r="10">
      <c r="A10" s="1" t="s">
        <v>57</v>
      </c>
      <c r="B10" s="4">
        <f>SUM('QUANTO PAGARAM'!F62:F63)</f>
        <v>7461</v>
      </c>
      <c r="C10" s="4">
        <f>3*240</f>
        <v>720</v>
      </c>
      <c r="D10" s="4">
        <f>3*(-2040)</f>
        <v>-6120</v>
      </c>
      <c r="E10" s="4">
        <f t="shared" si="1"/>
        <v>2061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21.38"/>
    <col customWidth="1" min="3" max="3" width="24.13"/>
    <col customWidth="1" min="4" max="4" width="25.88"/>
    <col customWidth="1" min="5" max="5" width="19.75"/>
    <col customWidth="1" min="6" max="6" width="17.75"/>
    <col customWidth="1" min="7" max="7" width="8.63"/>
    <col customWidth="1" min="8" max="8" width="13.0"/>
    <col customWidth="1" min="9" max="9" width="40.75"/>
    <col customWidth="1" min="10" max="26" width="8.63"/>
  </cols>
  <sheetData>
    <row r="1">
      <c r="A1" s="75" t="s">
        <v>66</v>
      </c>
    </row>
    <row r="3" ht="22.5" customHeight="1">
      <c r="A3" s="77" t="s">
        <v>67</v>
      </c>
      <c r="B3" s="77" t="s">
        <v>70</v>
      </c>
      <c r="C3" s="77" t="s">
        <v>72</v>
      </c>
      <c r="D3" s="77" t="s">
        <v>73</v>
      </c>
      <c r="E3" s="77" t="s">
        <v>74</v>
      </c>
      <c r="F3" s="77" t="s">
        <v>76</v>
      </c>
      <c r="H3" s="81" t="s">
        <v>77</v>
      </c>
      <c r="I3" s="81"/>
    </row>
    <row r="4" ht="22.5" customHeight="1">
      <c r="A4" s="82">
        <v>100.0</v>
      </c>
      <c r="B4" s="83">
        <v>100.0</v>
      </c>
      <c r="C4" s="83">
        <f>COUNTIF('Backtest Candle 18'!F2:F180,"100")+COUNTIF('Backtest Candle 18'!F2:F180,"125")+COUNTIF('Backtest Candle 18'!F2:F180,"150")+COUNTIF('Backtest Candle 18'!F2:F180,"175")+COUNTIF('Backtest Candle 18'!F2:F180,"200")+COUNTIF('Backtest Candle 18'!F2:F180,"200+")</f>
        <v>122</v>
      </c>
      <c r="D4" s="83">
        <f>COUNTIF('Backtest Candle 18'!E2:E180,"100")+COUNTIF('Backtest Candle 18'!E2:E180,"125")+COUNTIF('Backtest Candle 18'!E2:E180,"150")+COUNTIF('Backtest Candle 18'!E2:E180,"175")+COUNTIF('Backtest Candle 18'!E2:E180,"200")+COUNTIF('Backtest Candle 18'!E2:E180,"&gt;200")</f>
        <v>54</v>
      </c>
      <c r="E4" s="83">
        <f t="shared" ref="E4:E28" si="1">MAX(0,C4-D4)</f>
        <v>68</v>
      </c>
      <c r="F4" s="85">
        <f t="shared" ref="F4:F28" si="2">IF(C4=0,"",E4/C4)</f>
        <v>0.5573770492</v>
      </c>
      <c r="H4" s="4" t="s">
        <v>81</v>
      </c>
      <c r="I4" s="86" t="s">
        <v>82</v>
      </c>
    </row>
    <row r="5" ht="22.5" customHeight="1">
      <c r="A5" s="89">
        <v>100.0</v>
      </c>
      <c r="B5" s="90">
        <v>125.0</v>
      </c>
      <c r="C5" s="90">
        <f>COUNTIF('Backtest Candle 18'!F2:F180,"125")+COUNTIF('Backtest Candle 18'!F2:F180,"150")+COUNTIF('Backtest Candle 18'!F2:F180,"175")+COUNTIF('Backtest Candle 18'!F2:F180,"200")+COUNTIF('Backtest Candle 18'!F2:F180,"200+")</f>
        <v>106</v>
      </c>
      <c r="D5" s="90">
        <f>COUNTIF('Backtest Candle 18'!E2:E180,"100")+COUNTIF('Backtest Candle 18'!E2:E180,"125")+COUNTIF('Backtest Candle 18'!E2:E180,"150")+COUNTIF('Backtest Candle 18'!E2:E180,"175")+COUNTIF('Backtest Candle 18'!E2:E180,"200")+COUNTIF('Backtest Candle 18'!E2:E180,"&gt;200")</f>
        <v>54</v>
      </c>
      <c r="E5" s="90">
        <f t="shared" si="1"/>
        <v>52</v>
      </c>
      <c r="F5" s="94">
        <f t="shared" si="2"/>
        <v>0.4905660377</v>
      </c>
      <c r="H5" s="4" t="s">
        <v>84</v>
      </c>
      <c r="I5" s="86" t="s">
        <v>85</v>
      </c>
    </row>
    <row r="6" ht="22.5" customHeight="1">
      <c r="A6" s="89">
        <v>100.0</v>
      </c>
      <c r="B6" s="90">
        <v>150.0</v>
      </c>
      <c r="C6" s="90">
        <f>COUNTIF('Backtest Candle 18'!F2:F180,"150")+COUNTIF('Backtest Candle 18'!F2:F180,"175")+COUNTIF('Backtest Candle 18'!F2:F180,"200")+COUNTIF('Backtest Candle 18'!F2:F180,"200+")</f>
        <v>89</v>
      </c>
      <c r="D6" s="90">
        <f>COUNTIF('Backtest Candle 18'!E2:E180,"100")+COUNTIF('Backtest Candle 18'!E2:E180,"125")+COUNTIF('Backtest Candle 18'!E2:E180,"150")+COUNTIF('Backtest Candle 18'!E2:E180,"175")+COUNTIF('Backtest Candle 18'!E2:E180,"200")+COUNTIF('Backtest Candle 18'!E2:E180,"&gt;200")</f>
        <v>54</v>
      </c>
      <c r="E6" s="90">
        <f t="shared" si="1"/>
        <v>35</v>
      </c>
      <c r="F6" s="94">
        <f t="shared" si="2"/>
        <v>0.393258427</v>
      </c>
      <c r="H6" s="4" t="s">
        <v>88</v>
      </c>
      <c r="I6" s="86" t="s">
        <v>89</v>
      </c>
    </row>
    <row r="7" ht="22.5" customHeight="1">
      <c r="A7" s="89">
        <v>100.0</v>
      </c>
      <c r="B7" s="90">
        <v>175.0</v>
      </c>
      <c r="C7" s="90">
        <f>COUNTIF('Backtest Candle 18'!F2:F180,"175")+COUNTIF('Backtest Candle 18'!F2:F180,"200")+COUNTIF('Backtest Candle 18'!F2:F180,"200+")</f>
        <v>73</v>
      </c>
      <c r="D7" s="90">
        <f>COUNTIF('Backtest Candle 18'!E2:E180,"100")+COUNTIF('Backtest Candle 18'!E2:E180,"125")+COUNTIF('Backtest Candle 18'!E2:E180,"150")+COUNTIF('Backtest Candle 18'!E2:E180,"175")+COUNTIF('Backtest Candle 18'!E2:E180,"200")+COUNTIF('Backtest Candle 18'!E2:E180,"&gt;200")</f>
        <v>54</v>
      </c>
      <c r="E7" s="90">
        <f t="shared" si="1"/>
        <v>19</v>
      </c>
      <c r="F7" s="94">
        <f t="shared" si="2"/>
        <v>0.2602739726</v>
      </c>
      <c r="H7" s="4" t="s">
        <v>93</v>
      </c>
      <c r="I7" s="86" t="s">
        <v>94</v>
      </c>
    </row>
    <row r="8" ht="12.75" customHeight="1">
      <c r="A8" s="104">
        <v>100.0</v>
      </c>
      <c r="B8" s="105">
        <v>200.0</v>
      </c>
      <c r="C8" s="105">
        <f>COUNTIF('Backtest Candle 18'!F2:F180,"200")+COUNTIF('Backtest Candle 18'!F2:F180,"200+")</f>
        <v>61</v>
      </c>
      <c r="D8" s="105">
        <f>COUNTIF('Backtest Candle 18'!E2:E180,"100")+COUNTIF('Backtest Candle 18'!E2:E180,"125")+COUNTIF('Backtest Candle 18'!E2:E180,"150")+COUNTIF('Backtest Candle 18'!E2:E180,"175")+COUNTIF('Backtest Candle 18'!E2:E180,"200")+COUNTIF('Backtest Candle 18'!E2:E180,"&gt;200")</f>
        <v>54</v>
      </c>
      <c r="E8" s="105">
        <f t="shared" si="1"/>
        <v>7</v>
      </c>
      <c r="F8" s="106">
        <f t="shared" si="2"/>
        <v>0.1147540984</v>
      </c>
      <c r="H8" s="4" t="s">
        <v>96</v>
      </c>
      <c r="I8" s="86" t="s">
        <v>97</v>
      </c>
    </row>
    <row r="9" ht="22.5" customHeight="1">
      <c r="A9" s="82">
        <v>125.0</v>
      </c>
      <c r="B9" s="83">
        <v>100.0</v>
      </c>
      <c r="C9" s="83">
        <f>COUNTIF('Backtest Candle 18'!F2:F180,"100")+COUNTIF('Backtest Candle 18'!F2:F180,"125")+COUNTIF('Backtest Candle 18'!F2:F180,"150")+COUNTIF('Backtest Candle 18'!F2:F180,"175")+COUNTIF('Backtest Candle 18'!F2:F180,"200")+COUNTIF('Backtest Candle 18'!F2:F180,"200+")</f>
        <v>122</v>
      </c>
      <c r="D9" s="83">
        <f>COUNTIF('Backtest Candle 18'!E2:E180,"125")+COUNTIF('Backtest Candle 18'!E2:E180,"150")+COUNTIF('Backtest Candle 18'!E2:E180,"175")+COUNTIF('Backtest Candle 18'!E2:E180,"200")+COUNTIF('Backtest Candle 18'!E2:E180,"&gt;200")</f>
        <v>51</v>
      </c>
      <c r="E9" s="83">
        <f t="shared" si="1"/>
        <v>71</v>
      </c>
      <c r="F9" s="85">
        <f t="shared" si="2"/>
        <v>0.5819672131</v>
      </c>
    </row>
    <row r="10" ht="22.5" customHeight="1">
      <c r="A10" s="89">
        <v>125.0</v>
      </c>
      <c r="B10" s="90">
        <v>125.0</v>
      </c>
      <c r="C10" s="90">
        <f>COUNTIF('Backtest Candle 18'!F2:F180,"125")+COUNTIF('Backtest Candle 18'!F2:F180,"150")+COUNTIF('Backtest Candle 18'!F2:F180,"175")+COUNTIF('Backtest Candle 18'!F2:F180,"200")+COUNTIF('Backtest Candle 18'!F2:F180,"200+")</f>
        <v>106</v>
      </c>
      <c r="D10" s="90">
        <f>COUNTIF('Backtest Candle 18'!E2:E180,"125")+COUNTIF('Backtest Candle 18'!E2:E180,"150")+COUNTIF('Backtest Candle 18'!E2:E180,"175")+COUNTIF('Backtest Candle 18'!E2:E180,"200")+COUNTIF('Backtest Candle 18'!E2:E180,"&gt;200")</f>
        <v>51</v>
      </c>
      <c r="E10" s="90">
        <f t="shared" si="1"/>
        <v>55</v>
      </c>
      <c r="F10" s="94">
        <f t="shared" si="2"/>
        <v>0.5188679245</v>
      </c>
      <c r="H10" s="108" t="s">
        <v>98</v>
      </c>
      <c r="I10" s="109">
        <f>COUNTIF('Backtest Candle 18'!G:G,"WIN")</f>
        <v>126</v>
      </c>
    </row>
    <row r="11" ht="22.5" customHeight="1">
      <c r="A11" s="89">
        <v>125.0</v>
      </c>
      <c r="B11" s="90">
        <v>150.0</v>
      </c>
      <c r="C11" s="90">
        <f>COUNTIF('Backtest Candle 18'!F2:F180,"150")+COUNTIF('Backtest Candle 18'!F2:F180,"175")+COUNTIF('Backtest Candle 18'!F2:F180,"200")+COUNTIF('Backtest Candle 18'!F2:F180,"200+")</f>
        <v>89</v>
      </c>
      <c r="D11" s="90">
        <f>COUNTIF('Backtest Candle 18'!E2:E180,"125")+COUNTIF('Backtest Candle 18'!E2:E180,"150")+COUNTIF('Backtest Candle 18'!E2:E180,"175")+COUNTIF('Backtest Candle 18'!E2:E180,"200")+COUNTIF('Backtest Candle 18'!E2:E180,"&gt;200")</f>
        <v>51</v>
      </c>
      <c r="E11" s="90">
        <f t="shared" si="1"/>
        <v>38</v>
      </c>
      <c r="F11" s="94">
        <f t="shared" si="2"/>
        <v>0.4269662921</v>
      </c>
      <c r="H11" s="108" t="s">
        <v>99</v>
      </c>
      <c r="I11" s="111">
        <f>COUNTIF('Backtest Candle 18'!G:G,"LOSS")</f>
        <v>45</v>
      </c>
      <c r="J11" s="4">
        <f>I11*2040</f>
        <v>91800</v>
      </c>
    </row>
    <row r="12" ht="22.5" customHeight="1">
      <c r="A12" s="89">
        <v>125.0</v>
      </c>
      <c r="B12" s="90">
        <v>175.0</v>
      </c>
      <c r="C12" s="90">
        <f>COUNTIF('Backtest Candle 18'!F2:F180,"175")+COUNTIF('Backtest Candle 18'!F2:F180,"200")+COUNTIF('Backtest Candle 18'!F2:F180,"200+")</f>
        <v>73</v>
      </c>
      <c r="D12" s="90">
        <f>COUNTIF('Backtest Candle 18'!E2:E180,"125")+COUNTIF('Backtest Candle 18'!E2:E180,"150")+COUNTIF('Backtest Candle 18'!E2:E180,"175")+COUNTIF('Backtest Candle 18'!E2:E180,"200")+COUNTIF('Backtest Candle 18'!E2:E180,"&gt;200")</f>
        <v>51</v>
      </c>
      <c r="E12" s="90">
        <f t="shared" si="1"/>
        <v>22</v>
      </c>
      <c r="F12" s="94">
        <f t="shared" si="2"/>
        <v>0.301369863</v>
      </c>
      <c r="H12" s="108" t="s">
        <v>100</v>
      </c>
      <c r="I12" s="112">
        <f>IF((I10+I11)=0,"",I10/(I10+I11))</f>
        <v>0.7368421053</v>
      </c>
    </row>
    <row r="13" ht="22.5" customHeight="1">
      <c r="A13" s="104">
        <v>125.0</v>
      </c>
      <c r="B13" s="105">
        <v>200.0</v>
      </c>
      <c r="C13" s="105">
        <f>COUNTIF('Backtest Candle 18'!F2:F180,"200")+COUNTIF('Backtest Candle 18'!F2:F180,"200+")</f>
        <v>61</v>
      </c>
      <c r="D13" s="105">
        <f>COUNTIF('Backtest Candle 18'!E2:E180,"125")+COUNTIF('Backtest Candle 18'!E2:E180,"150")+COUNTIF('Backtest Candle 18'!E2:E180,"175")+COUNTIF('Backtest Candle 18'!E2:E180,"200")+COUNTIF('Backtest Candle 18'!E2:E180,"&gt;200")</f>
        <v>51</v>
      </c>
      <c r="E13" s="105">
        <f t="shared" si="1"/>
        <v>10</v>
      </c>
      <c r="F13" s="106">
        <f t="shared" si="2"/>
        <v>0.1639344262</v>
      </c>
    </row>
    <row r="14" ht="22.5" customHeight="1">
      <c r="A14" s="82">
        <v>150.0</v>
      </c>
      <c r="B14" s="83">
        <v>100.0</v>
      </c>
      <c r="C14" s="83">
        <f>COUNTIF('Backtest Candle 18'!F2:F180,"100")+COUNTIF('Backtest Candle 18'!F2:F180,"125")+COUNTIF('Backtest Candle 18'!F2:F180,"150")+COUNTIF('Backtest Candle 18'!F2:F180,"175")+COUNTIF('Backtest Candle 18'!F2:F180,"200")+COUNTIF('Backtest Candle 18'!F2:F180,"200+")</f>
        <v>122</v>
      </c>
      <c r="D14" s="83">
        <f>COUNTIF('Backtest Candle 18'!E2:E180,"150")+COUNTIF('Backtest Candle 18'!E2:E180,"175")+COUNTIF('Backtest Candle 18'!E2:E180,"200")+COUNTIF('Backtest Candle 18'!E2:E180,"&gt;200")</f>
        <v>47</v>
      </c>
      <c r="E14" s="83">
        <f t="shared" si="1"/>
        <v>75</v>
      </c>
      <c r="F14" s="85">
        <f t="shared" si="2"/>
        <v>0.6147540984</v>
      </c>
    </row>
    <row r="15" ht="22.5" customHeight="1">
      <c r="A15" s="89">
        <v>150.0</v>
      </c>
      <c r="B15" s="90">
        <v>125.0</v>
      </c>
      <c r="C15" s="90">
        <f>COUNTIF('Backtest Candle 18'!F2:F180,"125")+COUNTIF('Backtest Candle 18'!F2:F180,"150")+COUNTIF('Backtest Candle 18'!F2:F180,"175")+COUNTIF('Backtest Candle 18'!F2:F180,"200")+COUNTIF('Backtest Candle 18'!F2:F180,"200+")</f>
        <v>106</v>
      </c>
      <c r="D15" s="90">
        <f>COUNTIF('Backtest Candle 18'!E2:E180,"150")+COUNTIF('Backtest Candle 18'!E2:E180,"175")+COUNTIF('Backtest Candle 18'!E2:E180,"200")+COUNTIF('Backtest Candle 18'!E2:E180,"&gt;200")</f>
        <v>47</v>
      </c>
      <c r="E15" s="90">
        <f t="shared" si="1"/>
        <v>59</v>
      </c>
      <c r="F15" s="94">
        <f t="shared" si="2"/>
        <v>0.5566037736</v>
      </c>
      <c r="I15" s="4">
        <f>164-58</f>
        <v>106</v>
      </c>
    </row>
    <row r="16" ht="22.5" customHeight="1">
      <c r="A16" s="89">
        <v>150.0</v>
      </c>
      <c r="B16" s="90">
        <v>150.0</v>
      </c>
      <c r="C16" s="90">
        <f>COUNTIF('Backtest Candle 18'!F2:F180,"150")+COUNTIF('Backtest Candle 18'!F2:F180,"175")+COUNTIF('Backtest Candle 18'!F2:F180,"200")+COUNTIF('Backtest Candle 18'!F2:F180,"200+")</f>
        <v>89</v>
      </c>
      <c r="D16" s="90">
        <f>COUNTIF('Backtest Candle 18'!E2:E180,"150")+COUNTIF('Backtest Candle 18'!E2:E180,"175")+COUNTIF('Backtest Candle 18'!E2:E180,"200")+COUNTIF('Backtest Candle 18'!E2:E180,"&gt;200")</f>
        <v>47</v>
      </c>
      <c r="E16" s="90">
        <f t="shared" si="1"/>
        <v>42</v>
      </c>
      <c r="F16" s="94">
        <f t="shared" si="2"/>
        <v>0.4719101124</v>
      </c>
      <c r="I16" s="1">
        <v>58.0</v>
      </c>
      <c r="J16" s="4">
        <f>I16*1200</f>
        <v>69600</v>
      </c>
    </row>
    <row r="17" ht="22.5" customHeight="1">
      <c r="A17" s="89">
        <v>150.0</v>
      </c>
      <c r="B17" s="90">
        <v>175.0</v>
      </c>
      <c r="C17" s="90">
        <f>COUNTIF('Backtest Candle 18'!F2:F180,"175")+COUNTIF('Backtest Candle 18'!F2:F180,"200")+COUNTIF('Backtest Candle 18'!F2:F180,"200+")</f>
        <v>73</v>
      </c>
      <c r="D17" s="90">
        <f>COUNTIF('Backtest Candle 18'!E2:E180,"150")+COUNTIF('Backtest Candle 18'!E2:E180,"175")+COUNTIF('Backtest Candle 18'!E2:E180,"200")+COUNTIF('Backtest Candle 18'!E2:E180,"&gt;200")</f>
        <v>47</v>
      </c>
      <c r="E17" s="90">
        <f t="shared" si="1"/>
        <v>26</v>
      </c>
      <c r="F17" s="94">
        <f t="shared" si="2"/>
        <v>0.3561643836</v>
      </c>
    </row>
    <row r="18" ht="22.5" customHeight="1">
      <c r="A18" s="104">
        <v>150.0</v>
      </c>
      <c r="B18" s="105">
        <v>200.0</v>
      </c>
      <c r="C18" s="105">
        <f>COUNTIF('Backtest Candle 18'!F2:F180,"200")+COUNTIF('Backtest Candle 18'!F2:F180,"200+")</f>
        <v>61</v>
      </c>
      <c r="D18" s="105">
        <f>COUNTIF('Backtest Candle 18'!E2:E180,"150")+COUNTIF('Backtest Candle 18'!E2:E180,"175")+COUNTIF('Backtest Candle 18'!E2:E180,"200")+COUNTIF('Backtest Candle 18'!E2:E180,"&gt;200")</f>
        <v>47</v>
      </c>
      <c r="E18" s="105">
        <f t="shared" si="1"/>
        <v>14</v>
      </c>
      <c r="F18" s="106">
        <f t="shared" si="2"/>
        <v>0.2295081967</v>
      </c>
    </row>
    <row r="19" ht="22.5" customHeight="1">
      <c r="A19" s="82">
        <v>175.0</v>
      </c>
      <c r="B19" s="83">
        <v>100.0</v>
      </c>
      <c r="C19" s="83">
        <f>COUNTIF('Backtest Candle 18'!F2:F180,"100")+COUNTIF('Backtest Candle 18'!F2:F180,"125")+COUNTIF('Backtest Candle 18'!F2:F180,"150")+COUNTIF('Backtest Candle 18'!F2:F180,"175")+COUNTIF('Backtest Candle 18'!F2:F180,"200")+COUNTIF('Backtest Candle 18'!F2:F180,"200+")</f>
        <v>122</v>
      </c>
      <c r="D19" s="83">
        <f>COUNTIF('Backtest Candle 18'!E2:E180,"175")+COUNTIF('Backtest Candle 18'!E2:E180,"200")+COUNTIF('Backtest Candle 18'!E2:E180,"&gt;200")</f>
        <v>41</v>
      </c>
      <c r="E19" s="83">
        <f t="shared" si="1"/>
        <v>81</v>
      </c>
      <c r="F19" s="85">
        <f t="shared" si="2"/>
        <v>0.6639344262</v>
      </c>
    </row>
    <row r="20" ht="22.5" customHeight="1">
      <c r="A20" s="89">
        <v>175.0</v>
      </c>
      <c r="B20" s="90">
        <v>125.0</v>
      </c>
      <c r="C20" s="90">
        <f>COUNTIF('Backtest Candle 18'!F2:F180,"125")+COUNTIF('Backtest Candle 18'!F2:F180,"150")+COUNTIF('Backtest Candle 18'!F2:F180,"175")+COUNTIF('Backtest Candle 18'!F2:F180,"200")+COUNTIF('Backtest Candle 18'!F2:F180,"200+")</f>
        <v>106</v>
      </c>
      <c r="D20" s="90">
        <f>COUNTIF('Backtest Candle 18'!E2:E180,"175")+COUNTIF('Backtest Candle 18'!E2:E180,"200")+COUNTIF('Backtest Candle 18'!E2:E180,"&gt;200")</f>
        <v>41</v>
      </c>
      <c r="E20" s="90">
        <f t="shared" si="1"/>
        <v>65</v>
      </c>
      <c r="F20" s="94">
        <f t="shared" si="2"/>
        <v>0.6132075472</v>
      </c>
    </row>
    <row r="21" ht="15.75" customHeight="1">
      <c r="A21" s="89">
        <v>175.0</v>
      </c>
      <c r="B21" s="90">
        <v>150.0</v>
      </c>
      <c r="C21" s="90">
        <f>COUNTIF('Backtest Candle 18'!F2:F180,"150")+COUNTIF('Backtest Candle 18'!F2:F180,"175")+COUNTIF('Backtest Candle 18'!F2:F180,"200")+COUNTIF('Backtest Candle 18'!F2:F180,"200+")</f>
        <v>89</v>
      </c>
      <c r="D21" s="90">
        <f>COUNTIF('Backtest Candle 18'!E2:E180,"175")+COUNTIF('Backtest Candle 18'!E2:E180,"200")+COUNTIF('Backtest Candle 18'!E2:E180,"&gt;200")</f>
        <v>41</v>
      </c>
      <c r="E21" s="90">
        <f t="shared" si="1"/>
        <v>48</v>
      </c>
      <c r="F21" s="94">
        <f t="shared" si="2"/>
        <v>0.5393258427</v>
      </c>
    </row>
    <row r="22" ht="15.75" customHeight="1">
      <c r="A22" s="89">
        <v>175.0</v>
      </c>
      <c r="B22" s="90">
        <v>175.0</v>
      </c>
      <c r="C22" s="90">
        <f>COUNTIF('Backtest Candle 18'!F2:F180,"175")+COUNTIF('Backtest Candle 18'!F2:F180,"200")+COUNTIF('Backtest Candle 18'!F2:F180,"200+")</f>
        <v>73</v>
      </c>
      <c r="D22" s="90">
        <f>COUNTIF('Backtest Candle 18'!E2:E180,"175")+COUNTIF('Backtest Candle 18'!E2:E180,"200")+COUNTIF('Backtest Candle 18'!E2:E180,"&gt;200")</f>
        <v>41</v>
      </c>
      <c r="E22" s="90">
        <f t="shared" si="1"/>
        <v>32</v>
      </c>
      <c r="F22" s="94">
        <f t="shared" si="2"/>
        <v>0.4383561644</v>
      </c>
    </row>
    <row r="23" ht="15.75" customHeight="1">
      <c r="A23" s="104">
        <v>175.0</v>
      </c>
      <c r="B23" s="105">
        <v>200.0</v>
      </c>
      <c r="C23" s="105">
        <f>COUNTIF('Backtest Candle 18'!F2:F180,"200")+COUNTIF('Backtest Candle 18'!F2:F180,"200+")</f>
        <v>61</v>
      </c>
      <c r="D23" s="105">
        <f>COUNTIF('Backtest Candle 18'!E2:E180,"175")+COUNTIF('Backtest Candle 18'!E2:E180,"200")+COUNTIF('Backtest Candle 18'!E2:E180,"&gt;200")</f>
        <v>41</v>
      </c>
      <c r="E23" s="105">
        <f t="shared" si="1"/>
        <v>20</v>
      </c>
      <c r="F23" s="106">
        <f t="shared" si="2"/>
        <v>0.3278688525</v>
      </c>
    </row>
    <row r="24" ht="15.75" customHeight="1">
      <c r="A24" s="90">
        <v>200.0</v>
      </c>
      <c r="B24" s="90">
        <v>100.0</v>
      </c>
      <c r="C24" s="90">
        <f>COUNTIF('Backtest Candle 18'!F2:F180,"100")+COUNTIF('Backtest Candle 18'!F2:F180,"125")+COUNTIF('Backtest Candle 18'!F2:F180,"150")+COUNTIF('Backtest Candle 18'!F2:F180,"175")+COUNTIF('Backtest Candle 18'!F2:F180,"200")+COUNTIF('Backtest Candle 18'!F2:F180,"200+")</f>
        <v>122</v>
      </c>
      <c r="D24" s="90">
        <f>COUNTIF('Backtest Candle 18'!E2:E180,"200")+COUNTIF('Backtest Candle 18'!E2:E180,"&gt;200")</f>
        <v>39</v>
      </c>
      <c r="E24" s="90">
        <f t="shared" si="1"/>
        <v>83</v>
      </c>
      <c r="F24" s="115">
        <f t="shared" si="2"/>
        <v>0.6803278689</v>
      </c>
    </row>
    <row r="25" ht="15.75" customHeight="1">
      <c r="A25" s="90">
        <v>200.0</v>
      </c>
      <c r="B25" s="90">
        <v>125.0</v>
      </c>
      <c r="C25" s="90">
        <f>COUNTIF('Backtest Candle 18'!F2:F180,"125")+COUNTIF('Backtest Candle 18'!F2:F180,"150")+COUNTIF('Backtest Candle 18'!F2:F180,"175")+COUNTIF('Backtest Candle 18'!F2:F180,"200")+COUNTIF('Backtest Candle 18'!F2:F180,"200+")</f>
        <v>106</v>
      </c>
      <c r="D25" s="90">
        <f>COUNTIF('Backtest Candle 18'!E2:E180,"200")+COUNTIF('Backtest Candle 18'!E2:E180,"&gt;200")</f>
        <v>39</v>
      </c>
      <c r="E25" s="90">
        <f t="shared" si="1"/>
        <v>67</v>
      </c>
      <c r="F25" s="115">
        <f t="shared" si="2"/>
        <v>0.6320754717</v>
      </c>
    </row>
    <row r="26" ht="15.75" customHeight="1">
      <c r="A26" s="90">
        <v>200.0</v>
      </c>
      <c r="B26" s="90">
        <v>150.0</v>
      </c>
      <c r="C26" s="90">
        <f>COUNTIF('Backtest Candle 18'!F2:F180,"150")+COUNTIF('Backtest Candle 18'!F2:F180,"175")+COUNTIF('Backtest Candle 18'!F2:F180,"200")+COUNTIF('Backtest Candle 18'!F2:F180,"200+")</f>
        <v>89</v>
      </c>
      <c r="D26" s="90">
        <f>COUNTIF('Backtest Candle 18'!E2:E180,"200")+COUNTIF('Backtest Candle 18'!E2:E180,"&gt;200")</f>
        <v>39</v>
      </c>
      <c r="E26" s="90">
        <f t="shared" si="1"/>
        <v>50</v>
      </c>
      <c r="F26" s="115">
        <f t="shared" si="2"/>
        <v>0.5617977528</v>
      </c>
    </row>
    <row r="27" ht="15.75" customHeight="1">
      <c r="A27" s="90">
        <v>200.0</v>
      </c>
      <c r="B27" s="90">
        <v>175.0</v>
      </c>
      <c r="C27" s="90">
        <f>COUNTIF('Backtest Candle 18'!F2:F180,"175")+COUNTIF('Backtest Candle 18'!F2:F180,"200")+COUNTIF('Backtest Candle 18'!F2:F180,"200+")</f>
        <v>73</v>
      </c>
      <c r="D27" s="90">
        <f>COUNTIF('Backtest Candle 18'!E2:E180,"200")+COUNTIF('Backtest Candle 18'!E2:E180,"&gt;200")</f>
        <v>39</v>
      </c>
      <c r="E27" s="90">
        <f t="shared" si="1"/>
        <v>34</v>
      </c>
      <c r="F27" s="115">
        <f t="shared" si="2"/>
        <v>0.4657534247</v>
      </c>
    </row>
    <row r="28" ht="15.75" customHeight="1">
      <c r="A28" s="90">
        <v>200.0</v>
      </c>
      <c r="B28" s="90">
        <v>200.0</v>
      </c>
      <c r="C28" s="90">
        <f>COUNTIF('Backtest Candle 18'!F2:F180,"200")+COUNTIF('Backtest Candle 18'!F2:F180,"200+")</f>
        <v>61</v>
      </c>
      <c r="D28" s="90">
        <f>COUNTIF('Backtest Candle 18'!E2:E180,"200")+COUNTIF('Backtest Candle 18'!E2:E180,"&gt;200")</f>
        <v>39</v>
      </c>
      <c r="E28" s="90">
        <f t="shared" si="1"/>
        <v>22</v>
      </c>
      <c r="F28" s="115">
        <f t="shared" si="2"/>
        <v>0.3606557377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custom" allowBlank="1" showDropDown="1" sqref="A4:E28">
      <formula1>AND(ISNUMBER(A4),(NOT(OR(NOT(ISERROR(DATEVALUE(A4))), AND(ISNUMBER(A4), LEFT(CELL("format", A4))="D")))))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